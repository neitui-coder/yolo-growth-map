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2024会员参与情况" sheetId="1" r:id="rId3"/>
  </sheets>
  <calcPr/>
</workbook>
</file>

<file path=xl/sharedStrings.xml><?xml version="1.0" encoding="utf-8"?>
<sst xmlns="http://schemas.openxmlformats.org/spreadsheetml/2006/main" count="92" uniqueCount="92">
  <si>
    <t/>
  </si>
  <si>
    <t>2024会员参与YOLO+情况</t>
  </si>
  <si>
    <t>年度最多参与次数：</t>
  </si>
  <si>
    <t>年度最少参与次数：</t>
  </si>
  <si>
    <t>年度平均参与次数：</t>
  </si>
  <si>
    <t>序号</t>
  </si>
  <si>
    <t>会员姓名</t>
  </si>
  <si>
    <t>类别</t>
  </si>
  <si>
    <t>会员年度（202406-202505）</t>
  </si>
  <si>
    <t>参与总计</t>
  </si>
  <si>
    <t>备注</t>
  </si>
  <si>
    <t>深圳活动</t>
  </si>
  <si>
    <t>新加坡游学</t>
  </si>
  <si>
    <t>澳门年会</t>
  </si>
  <si>
    <t>温岭区域活动</t>
  </si>
  <si>
    <t>导师小组</t>
  </si>
  <si>
    <t>导师一对一（导师）</t>
  </si>
  <si>
    <t>导师一对一（coach）</t>
  </si>
  <si>
    <t>导师一对一（Gallup）</t>
  </si>
  <si>
    <t>高海纯</t>
  </si>
  <si>
    <t>现届会员</t>
  </si>
  <si>
    <t>蒋柳璟子</t>
  </si>
  <si>
    <t>筹委会</t>
  </si>
  <si>
    <t>罗琦玥</t>
  </si>
  <si>
    <t>现届会员（理事）</t>
  </si>
  <si>
    <t>小组长</t>
  </si>
  <si>
    <t>带星空下夜谈</t>
  </si>
  <si>
    <t>刘昱同</t>
  </si>
  <si>
    <t>王骁</t>
  </si>
  <si>
    <t>小组长,主持人</t>
  </si>
  <si>
    <t>主持人</t>
  </si>
  <si>
    <t>TED Talk</t>
  </si>
  <si>
    <t>吴昌鸿</t>
  </si>
  <si>
    <t>徐志谦</t>
  </si>
  <si>
    <t>主持人,小组长</t>
  </si>
  <si>
    <t>学习代表</t>
  </si>
  <si>
    <t>张嘉沁</t>
  </si>
  <si>
    <t>邓礼睿</t>
  </si>
  <si>
    <t>带游戏,筹委会</t>
  </si>
  <si>
    <t>杜晓欣</t>
  </si>
  <si>
    <t>胡润卿</t>
  </si>
  <si>
    <t>艾佳宁</t>
  </si>
  <si>
    <t>圆桌论坛嘉宾</t>
  </si>
  <si>
    <t>金连成</t>
  </si>
  <si>
    <t>林安之</t>
  </si>
  <si>
    <t>高直方</t>
  </si>
  <si>
    <t>阮赛茜</t>
  </si>
  <si>
    <t>崔斯雯</t>
  </si>
  <si>
    <t>李嘉怡</t>
  </si>
  <si>
    <t>建议：小组长</t>
  </si>
  <si>
    <t>吴梓萌</t>
  </si>
  <si>
    <t>筹委会,主持人</t>
  </si>
  <si>
    <t>潘佳瑜</t>
  </si>
  <si>
    <t>范晓雁</t>
  </si>
  <si>
    <t>建议：学习代表</t>
  </si>
  <si>
    <t>詹卓凡</t>
  </si>
  <si>
    <t>林海</t>
  </si>
  <si>
    <t>学习代表,小组长</t>
  </si>
  <si>
    <t>朱慧溪</t>
  </si>
  <si>
    <t>邵怡平</t>
  </si>
  <si>
    <t>周浩铖</t>
  </si>
  <si>
    <t>苏炜烔</t>
  </si>
  <si>
    <t>林佳炜</t>
  </si>
  <si>
    <t>黄蕾</t>
  </si>
  <si>
    <t>陈晓萱</t>
  </si>
  <si>
    <t>建议：线上活动策划</t>
  </si>
  <si>
    <t>宣文馨</t>
  </si>
  <si>
    <t>沈  吟</t>
  </si>
  <si>
    <t>林青桐</t>
  </si>
  <si>
    <t>新增会员</t>
  </si>
  <si>
    <t>杭一璐</t>
  </si>
  <si>
    <t>何楷行</t>
  </si>
  <si>
    <t>葛汉</t>
  </si>
  <si>
    <t>唐恺飞</t>
  </si>
  <si>
    <t>潜在会员</t>
  </si>
  <si>
    <t>高嘉瞳</t>
  </si>
  <si>
    <t>高秋闲</t>
  </si>
  <si>
    <t>李博源</t>
  </si>
  <si>
    <t>往届会员</t>
  </si>
  <si>
    <t>范凡</t>
  </si>
  <si>
    <t>半年计划</t>
  </si>
  <si>
    <t>一次没参加线下活动同学</t>
  </si>
  <si>
    <t>导师一对一</t>
  </si>
  <si>
    <t>教练一对一</t>
  </si>
  <si>
    <t>线上私董会</t>
  </si>
  <si>
    <t>针对学生群体</t>
  </si>
  <si>
    <t>线上分享会</t>
  </si>
  <si>
    <t>温岭活动跟进回国同学</t>
  </si>
  <si>
    <t>Jenny帮忙跟进一两个完全不活跃的同学</t>
  </si>
  <si>
    <t>参加过活动没担任过角色</t>
  </si>
  <si>
    <t>温岭活动担任角色</t>
  </si>
  <si>
    <t>线上活动担任策划角色</t>
  </si>
</sst>
</file>

<file path=xl/styles.xml><?xml version="1.0" encoding="utf-8"?>
<styleSheet xmlns="http://schemas.openxmlformats.org/spreadsheetml/2006/main">
  <fonts count="10">
    <font>
      <name val="等线"/>
      <charset val="134"/>
      <family val="2"/>
      <color theme="1"/>
      <sz val="10"/>
      <scheme val="minor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b val="true"/>
    </font>
    <font>
      <color rgb="FF000000"/>
    </font>
    <font>
      <name val="SimSun"/>
      <sz val="11"/>
    </font>
    <font>
      <sz val="9"/>
    </font>
    <font>
      <sz val="8"/>
    </font>
    <font>
      <name val="SimSun"/>
    </font>
    <font/>
  </fonts>
  <fills count="9">
    <fill>
      <patternFill patternType="none"/>
    </fill>
    <fill>
      <patternFill patternType="gray125"/>
    </fill>
    <fill>
      <patternFill/>
    </fill>
    <fill>
      <patternFill/>
    </fill>
    <fill>
      <patternFill patternType="solid">
        <fgColor rgb="FF98D7B6"/>
        <bgColor auto="true"/>
      </patternFill>
    </fill>
    <fill>
      <patternFill patternType="solid">
        <fgColor rgb="FFFFF9E3"/>
        <bgColor auto="true"/>
      </patternFill>
    </fill>
    <fill>
      <patternFill patternType="solid">
        <fgColor rgb="FF99BEFF"/>
        <bgColor auto="true"/>
      </patternFill>
    </fill>
    <fill>
      <patternFill patternType="solid">
        <fgColor rgb="FFFFEEAD"/>
        <bgColor auto="true"/>
      </patternFill>
    </fill>
    <fill>
      <patternFill patternType="solid">
        <fgColor rgb="FFFFE270"/>
        <bgColor auto="true"/>
      </patternFill>
    </fill>
  </fills>
  <borders count="11">
    <border>
      <left/>
      <right/>
      <top/>
      <bottom/>
      <diagonal/>
    </border>
    <border/>
    <border/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/>
    <border/>
    <border/>
    <border/>
    <border/>
    <border/>
  </borders>
  <cellStyleXfs>
    <xf numFmtId="0" fontId="0" fillId="0" borderId="0" xfId="0">
      <alignment vertical="center"/>
    </xf>
  </cellStyleXfs>
  <cellXfs count="47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0" fillId="2" borderId="0" xfId="0">
      <alignment vertical="center"/>
    </xf>
    <xf fontId="3" fillId="3" borderId="0" xfId="0">
      <alignment horizontal="center" vertical="center"/>
    </xf>
    <xf fontId="3" fillId="0" borderId="0" xfId="0">
      <alignment horizontal="center" vertical="center"/>
    </xf>
    <xf fontId="4" fillId="3" borderId="0" xfId="0">
      <alignment vertical="center"/>
    </xf>
    <xf fontId="4" fillId="3" borderId="0" xfId="0">
      <alignment horizontal="center" vertical="center"/>
    </xf>
    <xf numFmtId="0" fontId="4" fillId="3" borderId="0" xfId="0">
      <alignment horizontal="center" vertical="center"/>
    </xf>
    <xf fontId="4" fillId="3" borderId="0" xfId="0">
      <alignment vertical="center" wrapText="true"/>
    </xf>
    <xf numFmtId="0" fontId="4" fillId="3" borderId="0" xfId="0">
      <alignment vertical="center"/>
    </xf>
    <xf fontId="0" fillId="3" borderId="0" xfId="0">
      <alignment vertical="center"/>
    </xf>
    <xf fontId="0" fillId="3" borderId="0" xfId="0">
      <alignment horizontal="center" vertical="center"/>
    </xf>
    <xf fontId="0" fillId="4" borderId="0" xfId="0">
      <alignment vertical="center"/>
    </xf>
    <xf fontId="0" fillId="3" borderId="1" xfId="0">
      <alignment horizontal="center" vertical="center"/>
    </xf>
    <xf fontId="0" fillId="3" borderId="2" xfId="0">
      <alignment horizontal="center" vertical="center"/>
    </xf>
    <xf fontId="0" fillId="4" borderId="0" xfId="0">
      <alignment horizontal="center" vertical="center"/>
    </xf>
    <xf fontId="0" fillId="0" borderId="3" xfId="0">
      <alignment vertical="center"/>
    </xf>
    <xf fontId="5" fillId="5" borderId="4" xfId="0">
      <alignment horizontal="center" vertical="center"/>
    </xf>
    <xf fontId="0" fillId="5" borderId="0" xfId="0">
      <alignment vertical="center"/>
    </xf>
    <xf fontId="6" fillId="5" borderId="0" xfId="0">
      <alignment vertical="center" wrapText="false"/>
    </xf>
    <xf fontId="0" fillId="5" borderId="0" xfId="0">
      <alignment horizontal="center" vertical="center"/>
    </xf>
    <xf fontId="5" fillId="3" borderId="4" xfId="0">
      <alignment horizontal="center" vertical="center"/>
    </xf>
    <xf fontId="6" fillId="3" borderId="0" xfId="0">
      <alignment vertical="center" wrapText="false"/>
    </xf>
    <xf fontId="7" fillId="2" borderId="0" xfId="0">
      <alignment vertical="center"/>
    </xf>
    <xf fontId="0" fillId="2" borderId="0" xfId="0">
      <alignment horizontal="center" vertical="center"/>
    </xf>
    <xf fontId="0" fillId="3" borderId="0" xfId="0">
      <alignment horizontal="right" vertical="center"/>
    </xf>
    <xf fontId="8" fillId="4" borderId="4" xfId="0">
      <alignment horizontal="center" vertical="center"/>
    </xf>
    <xf fontId="5" fillId="3" borderId="0" xfId="0">
      <alignment horizontal="center" vertical="center"/>
    </xf>
    <xf fontId="8" fillId="6" borderId="0" xfId="0">
      <alignment horizontal="center" vertical="center"/>
    </xf>
    <xf fontId="9" fillId="3" borderId="0" xfId="0">
      <alignment horizontal="center" vertical="center"/>
    </xf>
    <xf fontId="8" fillId="7" borderId="0" xfId="0">
      <alignment horizontal="center" vertical="center"/>
    </xf>
    <xf fontId="8" fillId="3" borderId="0" xfId="0">
      <alignment horizontal="center" vertical="center"/>
    </xf>
    <xf fontId="0" fillId="8" borderId="0" xfId="0">
      <alignment horizontal="center" vertical="center"/>
    </xf>
    <xf fontId="0" fillId="8" borderId="0" xfId="0">
      <alignment vertical="center"/>
    </xf>
    <xf fontId="0" fillId="8" borderId="0" xfId="0">
      <alignment vertical="center" wrapText="true"/>
    </xf>
    <xf fontId="0" fillId="0" borderId="1" xfId="0">
      <alignment horizontal="center" vertical="center"/>
    </xf>
    <xf fontId="0" fillId="0" borderId="5" xfId="0">
      <alignment vertical="center"/>
    </xf>
    <xf fontId="0" fillId="0" borderId="6" xfId="0">
      <alignment vertical="center"/>
    </xf>
    <xf fontId="0" fillId="0" borderId="7" xfId="0">
      <alignment vertical="center"/>
    </xf>
    <xf fontId="0" fillId="0" borderId="8" xfId="0">
      <alignment vertical="center"/>
    </xf>
    <xf fontId="0" fillId="0" borderId="9" xfId="0">
      <alignment vertical="center"/>
    </xf>
    <xf fontId="0" fillId="0" borderId="10" xfId="0">
      <alignment vertical="center"/>
    </xf>
    <xf fontId="0" fillId="7" borderId="0" xfId="0">
      <alignment vertical="center"/>
    </xf>
    <xf fontId="0" fillId="0" borderId="0" xfId="0">
      <alignment horizontal="center" vertical="center"/>
    </xf>
    <xf fontId="0" fillId="0" borderId="0" xfId="0">
      <alignment vertical="center" wrapText="true"/>
    </xf>
  </cellXfs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1.xml" /><Relationship Id="rId2" Type="http://schemas.openxmlformats.org/officeDocument/2006/relationships/styles" Target="styles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thm15="http://schemas.microsoft.com/office/thememl/2012/main" xmlns:a="http://schemas.openxmlformats.org/drawingml/2006/main" xmlns:mc="http://schemas.openxmlformats.org/markup-compatibility/2006" name="Office 主题​​" mc:Ignorable="thm15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2024会员参与情况">
    <tabColor rgb="FFFFFFFF"/>
  </sheetPr>
  <dimension ref="D57"/>
  <sheetViews>
    <sheetView showGridLines="true" workbookViewId="0">
      <pane xSplit="3" topLeftCell="D1" state="frozen"/>
    </sheetView>
  </sheetViews>
  <cols>
    <col min="3" max="3" width="16.7344" customWidth="true"/>
    <col min="4" max="5" width="10.3828" customWidth="true"/>
    <col min="6" max="7" width="10.6523" customWidth="true"/>
    <col min="8" max="8" width="11.6016" customWidth="true"/>
    <col min="9" max="9" width="12.8125" style="46" customWidth="true"/>
    <col min="10" max="10" width="11.332" style="45" customWidth="true"/>
    <col min="11" max="11" width="11.332" customWidth="true"/>
    <col min="12" max="12" width="10.5234" customWidth="true"/>
    <col min="14" max="14" width="11.4609" customWidth="true"/>
    <col min="15" max="15" width="12.0039" customWidth="true"/>
    <col min="17" max="17" width="17.9414" customWidth="true"/>
  </cols>
  <sheetData>
    <row r="1" spans="1:18">
      <c r="A1" s="4" t="s"/>
      <c r="B1" s="5" t="s">
        <v>1</v>
      </c>
      <c r="E1" s="6" t="s"/>
      <c r="G1" s="6" t="s"/>
      <c r="I1" s="6" t="s"/>
      <c r="K1" s="6" t="s"/>
      <c r="Q1" s="4" t="s"/>
      <c r="R1" s="4" t="s"/>
    </row>
    <row r="2" spans="1:18">
      <c r="A2" s="7" t="s">
        <v>2</v>
      </c>
      <c r="B2" s="8" t="s"/>
      <c r="C2" s="9">
        <f>=MAX(P5:P10004)</f>
        <v>4</v>
      </c>
      <c r="E2" s="9" t="s"/>
      <c r="F2" s="7" t="s">
        <v>3</v>
      </c>
      <c r="G2" s="7" t="s"/>
      <c r="H2" s="7" t="s"/>
      <c r="I2" s="10" t="s"/>
      <c r="J2" s="9" t="e">
        <f>=LARGE(P5:P10004,COUNTA(B5:B10004))</f>
        <v>#NUM!</v>
      </c>
      <c r="K2" s="11" t="s"/>
      <c r="L2" s="7" t="s">
        <v>4</v>
      </c>
      <c r="M2" s="7" t="s"/>
      <c r="N2" s="11">
        <f>=AVERAGE(P5:P10004)</f>
        <v>1.80555555555556</v>
      </c>
      <c r="O2" s="7" t="s"/>
      <c r="P2" s="8" t="s"/>
      <c r="Q2" s="4" t="s"/>
      <c r="R2" s="4" t="s"/>
    </row>
    <row r="3" spans="1:18">
      <c r="A3" s="12" t="s">
        <v>5</v>
      </c>
      <c r="B3" s="13" t="s">
        <v>6</v>
      </c>
      <c r="C3" s="12" t="s">
        <v>7</v>
      </c>
      <c r="D3" s="12" t="s">
        <v>8</v>
      </c>
      <c r="E3" s="14" t="s"/>
      <c r="G3" s="14" t="s"/>
      <c r="I3" s="14" t="s"/>
      <c r="K3" s="14" t="s"/>
      <c r="P3" s="13" t="s">
        <v>9</v>
      </c>
      <c r="Q3" s="15" t="s">
        <v>10</v>
      </c>
      <c r="R3" s="4" t="s"/>
    </row>
    <row r="4" spans="4:18">
      <c r="D4" s="16" t="s">
        <v>11</v>
      </c>
      <c r="E4" s="17" t="s"/>
      <c r="F4" s="16" t="s">
        <v>12</v>
      </c>
      <c r="G4" s="17" t="s"/>
      <c r="H4" s="16" t="s">
        <v>13</v>
      </c>
      <c r="I4" s="17" t="s"/>
      <c r="J4" s="16" t="s">
        <v>14</v>
      </c>
      <c r="K4" s="17" t="s"/>
      <c r="L4" s="12" t="s">
        <v>15</v>
      </c>
      <c r="M4" s="12" t="s">
        <v>16</v>
      </c>
      <c r="N4" s="12" t="s">
        <v>17</v>
      </c>
      <c r="O4" s="12" t="s">
        <v>18</v>
      </c>
      <c r="Q4" s="18" t="s"/>
      <c r="R4" s="4" t="s"/>
    </row>
    <row r="5" spans="1:18" s="20">
      <c r="A5" s="19">
        <v>1</v>
      </c>
      <c r="B5" s="19" t="s">
        <v>19</v>
      </c>
      <c r="C5" s="19" t="s">
        <v>20</v>
      </c>
      <c r="D5" s="20" t="s"/>
      <c r="E5" s="21" t="s"/>
      <c r="F5" s="20" t="s"/>
      <c r="G5" s="21" t="s"/>
      <c r="H5" s="20" t="s"/>
      <c r="I5" s="21" t="s"/>
      <c r="J5" s="22" t="s"/>
      <c r="K5" s="21" t="s"/>
      <c r="L5" s="20" t="s"/>
      <c r="M5" s="20" t="s"/>
      <c r="N5" s="20" t="s"/>
      <c r="O5" s="20" t="s"/>
      <c r="P5" s="20">
        <f>=SUM(D5:O5)</f>
        <v>0</v>
      </c>
      <c r="Q5" s="20" t="s"/>
      <c r="R5" s="20" t="s"/>
    </row>
    <row r="6" spans="1:18">
      <c r="A6" s="23">
        <v>2</v>
      </c>
      <c r="B6" s="23" t="s">
        <v>21</v>
      </c>
      <c r="C6" s="23" t="s">
        <v>20</v>
      </c>
      <c r="D6" s="4" t="s"/>
      <c r="E6" s="24" t="s"/>
      <c r="F6" s="4" t="s"/>
      <c r="G6" s="24" t="s"/>
      <c r="H6" s="4" t="s"/>
      <c r="I6" s="24" t="s"/>
      <c r="J6" s="13">
        <v>1</v>
      </c>
      <c r="K6" s="24" t="s">
        <v>22</v>
      </c>
      <c r="L6" s="4" t="s"/>
      <c r="M6" s="4" t="s"/>
      <c r="N6" s="4" t="s"/>
      <c r="O6" s="4" t="s"/>
      <c r="P6" s="12">
        <f>=SUM(D6:O6)</f>
        <v>1</v>
      </c>
      <c r="Q6" s="4" t="s"/>
      <c r="R6" s="4" t="s"/>
    </row>
    <row r="7" spans="1:18">
      <c r="A7" s="23">
        <v>3</v>
      </c>
      <c r="B7" s="23" t="s">
        <v>23</v>
      </c>
      <c r="C7" s="23" t="s">
        <v>24</v>
      </c>
      <c r="D7" s="4" t="s"/>
      <c r="E7" s="24" t="s"/>
      <c r="F7" s="12">
        <v>1</v>
      </c>
      <c r="G7" s="24" t="s">
        <v>25</v>
      </c>
      <c r="H7" s="4" t="s"/>
      <c r="I7" s="24" t="s"/>
      <c r="J7" s="13">
        <v>1</v>
      </c>
      <c r="K7" s="25" t="s">
        <v>26</v>
      </c>
      <c r="L7" s="4" t="s"/>
      <c r="M7" s="4" t="s"/>
      <c r="N7" s="4" t="s"/>
      <c r="O7" s="4" t="s"/>
      <c r="P7" s="12">
        <f>=SUM(D7:O7)</f>
        <v>2</v>
      </c>
      <c r="Q7" s="4" t="s"/>
      <c r="R7" s="12" t="s">
        <v>25</v>
      </c>
    </row>
    <row r="8" spans="1:18" s="20">
      <c r="A8" s="19">
        <v>4</v>
      </c>
      <c r="B8" s="19" t="s">
        <v>27</v>
      </c>
      <c r="C8" s="19" t="s">
        <v>20</v>
      </c>
      <c r="D8" s="20" t="s"/>
      <c r="E8" s="21" t="s"/>
      <c r="F8" s="20" t="s"/>
      <c r="G8" s="21" t="s"/>
      <c r="H8" s="20" t="s"/>
      <c r="I8" s="21" t="s"/>
      <c r="J8" s="22" t="s"/>
      <c r="K8" s="21" t="s"/>
      <c r="L8" s="20" t="s"/>
      <c r="M8" s="20" t="s"/>
      <c r="N8" s="20" t="s"/>
      <c r="O8" s="20" t="s"/>
      <c r="P8" s="20">
        <f>=SUM(D8:O8)</f>
        <v>0</v>
      </c>
      <c r="Q8" s="20" t="s"/>
      <c r="R8" s="20" t="s">
        <v>22</v>
      </c>
    </row>
    <row r="9" spans="1:18">
      <c r="A9" s="23">
        <v>5</v>
      </c>
      <c r="B9" s="23" t="s">
        <v>28</v>
      </c>
      <c r="C9" s="23" t="s">
        <v>20</v>
      </c>
      <c r="D9" s="12">
        <v>1</v>
      </c>
      <c r="E9" s="24" t="s">
        <v>29</v>
      </c>
      <c r="F9" s="4" t="s"/>
      <c r="G9" s="24" t="s"/>
      <c r="H9" s="12">
        <v>1</v>
      </c>
      <c r="I9" s="24" t="s">
        <v>30</v>
      </c>
      <c r="J9" s="13">
        <v>1</v>
      </c>
      <c r="K9" s="24" t="s">
        <v>30</v>
      </c>
      <c r="L9" s="4" t="s"/>
      <c r="M9" s="4" t="s"/>
      <c r="N9" s="4" t="s"/>
      <c r="O9" s="4" t="s"/>
      <c r="P9" s="12">
        <f>=SUM(D9:O9)</f>
        <v>3</v>
      </c>
      <c r="Q9" s="4" t="s"/>
      <c r="R9" s="12" t="s">
        <v>31</v>
      </c>
    </row>
    <row r="10" spans="1:18">
      <c r="A10" s="23">
        <v>6</v>
      </c>
      <c r="B10" s="23" t="s">
        <v>32</v>
      </c>
      <c r="C10" s="23" t="s">
        <v>20</v>
      </c>
      <c r="D10" s="12" t="s"/>
      <c r="E10" s="24" t="s"/>
      <c r="F10" s="12">
        <v>1</v>
      </c>
      <c r="G10" s="24" t="s">
        <v>31</v>
      </c>
      <c r="H10" s="12">
        <v>1</v>
      </c>
      <c r="I10" s="24" t="s"/>
      <c r="J10" s="26" t="s"/>
      <c r="K10" s="24" t="s"/>
      <c r="L10" s="4" t="s"/>
      <c r="M10" s="4" t="s"/>
      <c r="N10" s="4" t="s"/>
      <c r="O10" s="4" t="s"/>
      <c r="P10" s="12">
        <f>=SUM(D10:O10)</f>
        <v>2</v>
      </c>
      <c r="Q10" s="4" t="s"/>
      <c r="R10" s="12" t="s">
        <v>30</v>
      </c>
    </row>
    <row r="11" spans="1:18">
      <c r="A11" s="23">
        <v>7</v>
      </c>
      <c r="B11" s="23" t="s">
        <v>33</v>
      </c>
      <c r="C11" s="23" t="s">
        <v>20</v>
      </c>
      <c r="D11" s="12">
        <v>1</v>
      </c>
      <c r="E11" s="24" t="s">
        <v>34</v>
      </c>
      <c r="F11" s="12">
        <v>1</v>
      </c>
      <c r="G11" s="24" t="s">
        <v>30</v>
      </c>
      <c r="H11" s="12">
        <v>1</v>
      </c>
      <c r="I11" s="24" t="s">
        <v>25</v>
      </c>
      <c r="J11" s="13">
        <v>1</v>
      </c>
      <c r="K11" s="24" t="s">
        <v>22</v>
      </c>
      <c r="L11" s="4" t="s"/>
      <c r="M11" s="4" t="s"/>
      <c r="N11" s="4" t="s"/>
      <c r="O11" s="4" t="s"/>
      <c r="P11" s="12">
        <f>=SUM(D11:O11)</f>
        <v>4</v>
      </c>
      <c r="Q11" s="4" t="s"/>
      <c r="R11" s="12" t="s">
        <v>35</v>
      </c>
    </row>
    <row r="12" spans="1:18" s="20">
      <c r="A12" s="19">
        <v>8</v>
      </c>
      <c r="B12" s="19" t="s">
        <v>36</v>
      </c>
      <c r="C12" s="19" t="s">
        <v>20</v>
      </c>
      <c r="D12" s="20" t="s"/>
      <c r="E12" s="21" t="s"/>
      <c r="F12" s="20" t="s"/>
      <c r="G12" s="21" t="s"/>
      <c r="H12" s="20" t="s"/>
      <c r="I12" s="21" t="s"/>
      <c r="J12" s="22" t="s"/>
      <c r="K12" s="21" t="s"/>
      <c r="L12" s="20" t="s"/>
      <c r="M12" s="20" t="s"/>
      <c r="N12" s="20" t="s"/>
      <c r="O12" s="20" t="s"/>
      <c r="P12" s="20">
        <f>=SUM(D12:O12)</f>
        <v>0</v>
      </c>
      <c r="Q12" s="20" t="s"/>
      <c r="R12" s="20" t="s"/>
    </row>
    <row r="13" spans="1:18">
      <c r="A13" s="23">
        <v>9</v>
      </c>
      <c r="B13" s="23" t="s">
        <v>37</v>
      </c>
      <c r="C13" s="23" t="s">
        <v>20</v>
      </c>
      <c r="D13" s="12">
        <v>1</v>
      </c>
      <c r="E13" s="24" t="s">
        <v>25</v>
      </c>
      <c r="F13" s="12">
        <v>1</v>
      </c>
      <c r="G13" s="24" t="s">
        <v>38</v>
      </c>
      <c r="H13" s="12">
        <v>1</v>
      </c>
      <c r="I13" s="24" t="s">
        <v>30</v>
      </c>
      <c r="J13" s="13">
        <v>1</v>
      </c>
      <c r="K13" s="24" t="s">
        <v>22</v>
      </c>
      <c r="L13" s="4" t="s"/>
      <c r="M13" s="4" t="s"/>
      <c r="N13" s="4" t="s"/>
      <c r="O13" s="4" t="s"/>
      <c r="P13" s="12">
        <f>=SUM(D13:O13)</f>
        <v>4</v>
      </c>
      <c r="Q13" s="4" t="s"/>
      <c r="R13" s="4" t="s"/>
    </row>
    <row r="14" spans="1:18" s="20">
      <c r="A14" s="19">
        <v>10</v>
      </c>
      <c r="B14" s="19" t="s">
        <v>39</v>
      </c>
      <c r="C14" s="19" t="s">
        <v>20</v>
      </c>
      <c r="D14" s="20" t="s"/>
      <c r="E14" s="21" t="s"/>
      <c r="F14" s="20" t="s"/>
      <c r="G14" s="21" t="s"/>
      <c r="H14" s="20" t="s"/>
      <c r="I14" s="21" t="s"/>
      <c r="J14" s="22" t="s"/>
      <c r="K14" s="21" t="s"/>
      <c r="L14" s="20" t="s"/>
      <c r="M14" s="20" t="s"/>
      <c r="N14" s="20" t="s"/>
      <c r="O14" s="20" t="s"/>
      <c r="P14" s="20">
        <f>=SUM(D14:O14)</f>
        <v>0</v>
      </c>
      <c r="Q14" s="20" t="s"/>
      <c r="R14" s="20" t="s"/>
    </row>
    <row r="15" spans="1:18">
      <c r="A15" s="23">
        <v>11</v>
      </c>
      <c r="B15" s="23" t="s">
        <v>40</v>
      </c>
      <c r="C15" s="23" t="s">
        <v>20</v>
      </c>
      <c r="D15" s="12">
        <v>1</v>
      </c>
      <c r="E15" s="24" t="s">
        <v>25</v>
      </c>
      <c r="F15" s="4" t="s"/>
      <c r="G15" s="24" t="s"/>
      <c r="H15" s="4" t="s"/>
      <c r="I15" s="24" t="s"/>
      <c r="J15" s="26" t="s"/>
      <c r="K15" s="24" t="s"/>
      <c r="L15" s="4" t="s"/>
      <c r="M15" s="4" t="s"/>
      <c r="N15" s="4" t="s"/>
      <c r="O15" s="4" t="s"/>
      <c r="P15" s="12">
        <f>=SUM(D15:O15)</f>
        <v>1</v>
      </c>
      <c r="Q15" s="4" t="s"/>
      <c r="R15" s="4" t="s"/>
    </row>
    <row r="16" spans="1:18">
      <c r="A16" s="23">
        <v>12</v>
      </c>
      <c r="B16" s="23" t="s">
        <v>41</v>
      </c>
      <c r="C16" s="23" t="s">
        <v>20</v>
      </c>
      <c r="D16" s="12">
        <v>1</v>
      </c>
      <c r="E16" s="24" t="s">
        <v>35</v>
      </c>
      <c r="F16" s="4" t="s"/>
      <c r="G16" s="24" t="s"/>
      <c r="H16" s="12">
        <v>1</v>
      </c>
      <c r="I16" s="24" t="s"/>
      <c r="J16" s="13">
        <v>1</v>
      </c>
      <c r="K16" s="25" t="s">
        <v>42</v>
      </c>
      <c r="L16" s="4" t="s"/>
      <c r="M16" s="4" t="s"/>
      <c r="N16" s="4" t="s"/>
      <c r="O16" s="4" t="s"/>
      <c r="P16" s="12">
        <f>=SUM(D16:O16)</f>
        <v>3</v>
      </c>
      <c r="Q16" s="4" t="s"/>
      <c r="R16" s="4" t="s"/>
    </row>
    <row r="17" spans="1:18">
      <c r="A17" s="23">
        <v>13</v>
      </c>
      <c r="B17" s="23" t="s">
        <v>43</v>
      </c>
      <c r="C17" s="23" t="s">
        <v>20</v>
      </c>
      <c r="D17" s="4" t="s"/>
      <c r="E17" s="24" t="s"/>
      <c r="F17" s="4" t="s"/>
      <c r="G17" s="24" t="s"/>
      <c r="H17" s="12">
        <v>1</v>
      </c>
      <c r="I17" s="24" t="s">
        <v>31</v>
      </c>
      <c r="J17" s="26" t="s"/>
      <c r="K17" s="24" t="s"/>
      <c r="L17" s="4" t="s"/>
      <c r="M17" s="4" t="s"/>
      <c r="N17" s="4" t="s"/>
      <c r="O17" s="4" t="s"/>
      <c r="P17" s="12">
        <f>=SUM(D17:O17)</f>
        <v>1</v>
      </c>
      <c r="Q17" s="4" t="s"/>
      <c r="R17" s="4" t="s"/>
    </row>
    <row r="18" spans="1:18">
      <c r="A18" s="23">
        <v>14</v>
      </c>
      <c r="B18" s="23" t="s">
        <v>44</v>
      </c>
      <c r="C18" s="23" t="s">
        <v>20</v>
      </c>
      <c r="D18" s="12">
        <v>1</v>
      </c>
      <c r="E18" s="24" t="s"/>
      <c r="F18" s="12">
        <v>1</v>
      </c>
      <c r="G18" s="24" t="s">
        <v>25</v>
      </c>
      <c r="H18" s="12">
        <v>1</v>
      </c>
      <c r="I18" s="24" t="s">
        <v>35</v>
      </c>
      <c r="J18" s="26" t="s"/>
      <c r="K18" s="24" t="s"/>
      <c r="L18" s="4" t="s"/>
      <c r="M18" s="4" t="s"/>
      <c r="N18" s="4" t="s"/>
      <c r="O18" s="4" t="s"/>
      <c r="P18" s="12">
        <f>=SUM(D18:O18)</f>
        <v>3</v>
      </c>
      <c r="Q18" s="4" t="s"/>
      <c r="R18" s="4" t="s"/>
    </row>
    <row r="19" spans="1:18">
      <c r="A19" s="23">
        <v>15</v>
      </c>
      <c r="B19" s="23" t="s">
        <v>45</v>
      </c>
      <c r="C19" s="23" t="s">
        <v>20</v>
      </c>
      <c r="D19" s="4" t="s"/>
      <c r="E19" s="24" t="s"/>
      <c r="F19" s="12">
        <v>1</v>
      </c>
      <c r="G19" s="24" t="s">
        <v>31</v>
      </c>
      <c r="H19" s="4" t="s"/>
      <c r="I19" s="24" t="s"/>
      <c r="J19" s="26" t="s"/>
      <c r="K19" s="24" t="s"/>
      <c r="L19" s="4" t="s"/>
      <c r="M19" s="4" t="s"/>
      <c r="N19" s="4" t="s"/>
      <c r="O19" s="4" t="s"/>
      <c r="P19" s="12">
        <f>=SUM(D19:O19)</f>
        <v>1</v>
      </c>
      <c r="Q19" s="4" t="s"/>
      <c r="R19" s="4" t="s"/>
    </row>
    <row r="20" spans="1:18">
      <c r="A20" s="23">
        <v>16</v>
      </c>
      <c r="B20" s="23" t="s">
        <v>46</v>
      </c>
      <c r="C20" s="23" t="s">
        <v>20</v>
      </c>
      <c r="D20" s="12">
        <v>1</v>
      </c>
      <c r="E20" s="24" t="s"/>
      <c r="F20" s="4" t="s"/>
      <c r="G20" s="24" t="s"/>
      <c r="H20" s="12">
        <v>1</v>
      </c>
      <c r="I20" s="24" t="s">
        <v>30</v>
      </c>
      <c r="J20" s="26" t="s"/>
      <c r="K20" s="24" t="s"/>
      <c r="L20" s="4" t="s"/>
      <c r="M20" s="4" t="s"/>
      <c r="N20" s="4" t="s"/>
      <c r="O20" s="4" t="s"/>
      <c r="P20" s="12">
        <f>=SUM(D20:O20)</f>
        <v>2</v>
      </c>
      <c r="Q20" s="4" t="s"/>
      <c r="R20" s="4" t="s"/>
    </row>
    <row r="21" spans="1:18" s="20">
      <c r="A21" s="19">
        <v>17</v>
      </c>
      <c r="B21" s="19" t="s">
        <v>47</v>
      </c>
      <c r="C21" s="19" t="s">
        <v>20</v>
      </c>
      <c r="D21" s="20" t="s"/>
      <c r="E21" s="21" t="s"/>
      <c r="F21" s="20" t="s"/>
      <c r="G21" s="21" t="s"/>
      <c r="H21" s="20" t="s"/>
      <c r="I21" s="21" t="s"/>
      <c r="J21" s="22" t="s"/>
      <c r="K21" s="21" t="s"/>
      <c r="L21" s="20" t="s"/>
      <c r="M21" s="20" t="s"/>
      <c r="N21" s="20" t="s"/>
      <c r="O21" s="20" t="s"/>
      <c r="P21" s="20">
        <f>=SUM(D21:O21)</f>
        <v>0</v>
      </c>
      <c r="Q21" s="20" t="s"/>
      <c r="R21" s="20" t="s"/>
    </row>
    <row r="22" spans="1:18" s="44">
      <c r="A22" s="23">
        <v>18</v>
      </c>
      <c r="B22" s="23" t="s">
        <v>48</v>
      </c>
      <c r="C22" s="23" t="s">
        <v>20</v>
      </c>
      <c r="D22" s="12">
        <v>1</v>
      </c>
      <c r="E22" s="24" t="s"/>
      <c r="F22" s="4" t="s"/>
      <c r="G22" s="24" t="s"/>
      <c r="H22" s="4" t="s"/>
      <c r="I22" s="24" t="s"/>
      <c r="J22" s="13" t="s"/>
      <c r="K22" s="24" t="s"/>
      <c r="L22" s="4" t="s"/>
      <c r="M22" s="4" t="s"/>
      <c r="N22" s="4" t="s"/>
      <c r="O22" s="4" t="s"/>
      <c r="P22" s="12">
        <f>=SUM(D22:O22)</f>
        <v>1</v>
      </c>
      <c r="Q22" s="12" t="s">
        <v>49</v>
      </c>
      <c r="R22" s="4" t="s"/>
    </row>
    <row r="23" spans="1:18">
      <c r="A23" s="23">
        <v>19</v>
      </c>
      <c r="B23" s="23" t="s">
        <v>50</v>
      </c>
      <c r="C23" s="23" t="s">
        <v>20</v>
      </c>
      <c r="D23" s="27">
        <v>1</v>
      </c>
      <c r="E23" s="24" t="s">
        <v>34</v>
      </c>
      <c r="F23" s="12">
        <v>1</v>
      </c>
      <c r="G23" s="24" t="s">
        <v>51</v>
      </c>
      <c r="H23" s="4" t="s"/>
      <c r="I23" s="24" t="s"/>
      <c r="J23" s="26" t="s"/>
      <c r="K23" s="24" t="s"/>
      <c r="L23" s="4" t="s"/>
      <c r="M23" s="4" t="s"/>
      <c r="N23" s="4" t="s"/>
      <c r="O23" s="4" t="s"/>
      <c r="P23" s="12">
        <f>=SUM(D23:O23)</f>
        <v>2</v>
      </c>
      <c r="Q23" s="4" t="s"/>
      <c r="R23" s="4" t="s"/>
    </row>
    <row r="24" spans="1:18">
      <c r="A24" s="23">
        <v>20</v>
      </c>
      <c r="B24" s="23" t="s">
        <v>52</v>
      </c>
      <c r="C24" s="23" t="s">
        <v>20</v>
      </c>
      <c r="D24" s="12">
        <v>1</v>
      </c>
      <c r="E24" s="24" t="s">
        <v>35</v>
      </c>
      <c r="F24" s="12">
        <v>1</v>
      </c>
      <c r="G24" s="24" t="s"/>
      <c r="H24" s="12">
        <v>1</v>
      </c>
      <c r="I24" s="24" t="s">
        <v>35</v>
      </c>
      <c r="J24" s="13">
        <v>1</v>
      </c>
      <c r="K24" s="24" t="s">
        <v>22</v>
      </c>
      <c r="L24" s="4" t="s"/>
      <c r="M24" s="4" t="s"/>
      <c r="N24" s="4" t="s"/>
      <c r="O24" s="4" t="s"/>
      <c r="P24" s="12">
        <f>=SUM(D24:O24)</f>
        <v>4</v>
      </c>
      <c r="Q24" s="4" t="s"/>
      <c r="R24" s="4" t="s"/>
    </row>
    <row r="25" spans="1:18" s="44">
      <c r="A25" s="23">
        <v>21</v>
      </c>
      <c r="B25" s="23" t="s">
        <v>53</v>
      </c>
      <c r="C25" s="23" t="s">
        <v>20</v>
      </c>
      <c r="D25" s="12">
        <v>1</v>
      </c>
      <c r="E25" s="24" t="s"/>
      <c r="F25" s="4" t="s"/>
      <c r="G25" s="24" t="s"/>
      <c r="H25" s="4" t="s"/>
      <c r="I25" s="24" t="s"/>
      <c r="J25" s="13">
        <v>1</v>
      </c>
      <c r="K25" s="24" t="s">
        <v>31</v>
      </c>
      <c r="L25" s="4" t="s"/>
      <c r="M25" s="4" t="s"/>
      <c r="N25" s="4" t="s"/>
      <c r="O25" s="4" t="s"/>
      <c r="P25" s="12">
        <f>=SUM(D25:O25)</f>
        <v>2</v>
      </c>
      <c r="Q25" s="12" t="s">
        <v>54</v>
      </c>
      <c r="R25" s="4" t="s"/>
    </row>
    <row r="26" spans="1:18">
      <c r="A26" s="23">
        <v>22</v>
      </c>
      <c r="B26" s="23" t="s">
        <v>55</v>
      </c>
      <c r="C26" s="23" t="s">
        <v>20</v>
      </c>
      <c r="D26" s="12">
        <v>1</v>
      </c>
      <c r="E26" s="24" t="s"/>
      <c r="F26" s="4" t="s"/>
      <c r="G26" s="24" t="s"/>
      <c r="H26" s="12">
        <v>1</v>
      </c>
      <c r="I26" s="24" t="s">
        <v>30</v>
      </c>
      <c r="J26" s="13">
        <v>1</v>
      </c>
      <c r="K26" s="24" t="s">
        <v>31</v>
      </c>
      <c r="L26" s="4" t="s"/>
      <c r="M26" s="4" t="s"/>
      <c r="N26" s="4" t="s"/>
      <c r="O26" s="4" t="s"/>
      <c r="P26" s="12">
        <f>=SUM(D26:O26)</f>
        <v>3</v>
      </c>
      <c r="Q26" s="4" t="s"/>
      <c r="R26" s="4" t="s"/>
    </row>
    <row r="27" spans="1:18">
      <c r="A27" s="23">
        <v>23</v>
      </c>
      <c r="B27" s="23" t="s">
        <v>56</v>
      </c>
      <c r="C27" s="23" t="s">
        <v>20</v>
      </c>
      <c r="D27" s="12">
        <v>1</v>
      </c>
      <c r="E27" s="24" t="s"/>
      <c r="F27" s="12">
        <v>1</v>
      </c>
      <c r="G27" s="24" t="s">
        <v>57</v>
      </c>
      <c r="H27" s="4" t="s"/>
      <c r="I27" s="24" t="s"/>
      <c r="J27" s="26" t="s"/>
      <c r="K27" s="24" t="s"/>
      <c r="L27" s="4" t="s"/>
      <c r="M27" s="4" t="s"/>
      <c r="N27" s="4" t="s"/>
      <c r="O27" s="4" t="s"/>
      <c r="P27" s="12">
        <f>=SUM(D27:O27)</f>
        <v>2</v>
      </c>
      <c r="Q27" s="4" t="s"/>
      <c r="R27" s="4" t="s"/>
    </row>
    <row r="28" spans="1:18">
      <c r="A28" s="23">
        <v>24</v>
      </c>
      <c r="B28" s="23" t="s">
        <v>58</v>
      </c>
      <c r="C28" s="23" t="s">
        <v>20</v>
      </c>
      <c r="D28" s="12">
        <v>1</v>
      </c>
      <c r="E28" s="24" t="s"/>
      <c r="F28" s="12">
        <v>1</v>
      </c>
      <c r="G28" s="24" t="s">
        <v>35</v>
      </c>
      <c r="H28" s="4" t="s"/>
      <c r="I28" s="24" t="s"/>
      <c r="J28" s="26" t="s"/>
      <c r="K28" s="24" t="s"/>
      <c r="L28" s="4" t="s"/>
      <c r="M28" s="4" t="s"/>
      <c r="N28" s="4" t="s"/>
      <c r="O28" s="4" t="s"/>
      <c r="P28" s="12">
        <f>=SUM(D28:O28)</f>
        <v>2</v>
      </c>
      <c r="Q28" s="4" t="s"/>
      <c r="R28" s="4" t="s"/>
    </row>
    <row r="29" spans="1:18" s="44">
      <c r="A29" s="23">
        <v>25</v>
      </c>
      <c r="B29" s="23" t="s">
        <v>59</v>
      </c>
      <c r="C29" s="23" t="s">
        <v>20</v>
      </c>
      <c r="D29" s="12">
        <v>1</v>
      </c>
      <c r="E29" s="24" t="s"/>
      <c r="F29" s="4" t="s"/>
      <c r="G29" s="24" t="s"/>
      <c r="H29" s="4" t="s"/>
      <c r="I29" s="24" t="s"/>
      <c r="J29" s="13" t="s"/>
      <c r="K29" s="24" t="s"/>
      <c r="L29" s="4" t="s"/>
      <c r="M29" s="4" t="s"/>
      <c r="N29" s="4" t="s"/>
      <c r="O29" s="4" t="s"/>
      <c r="P29" s="12">
        <f>=SUM(D29:O29)</f>
        <v>1</v>
      </c>
      <c r="Q29" s="4" t="s"/>
      <c r="R29" s="4" t="s"/>
    </row>
    <row r="30" spans="1:18">
      <c r="A30" s="23">
        <v>26</v>
      </c>
      <c r="B30" s="23" t="s">
        <v>60</v>
      </c>
      <c r="C30" s="23" t="s">
        <v>20</v>
      </c>
      <c r="D30" s="4" t="s"/>
      <c r="E30" s="24" t="s"/>
      <c r="F30" s="12">
        <v>1</v>
      </c>
      <c r="G30" s="24" t="s">
        <v>30</v>
      </c>
      <c r="H30" s="12">
        <v>1</v>
      </c>
      <c r="I30" s="24" t="s">
        <v>25</v>
      </c>
      <c r="J30" s="26" t="s"/>
      <c r="K30" s="24" t="s"/>
      <c r="L30" s="4" t="s"/>
      <c r="M30" s="4" t="s"/>
      <c r="N30" s="4" t="s"/>
      <c r="O30" s="4" t="s"/>
      <c r="P30" s="12">
        <f>=SUM(D30:O30)</f>
        <v>2</v>
      </c>
      <c r="Q30" s="4" t="s"/>
      <c r="R30" s="4" t="s"/>
    </row>
    <row r="31" spans="1:18">
      <c r="A31" s="23">
        <v>27</v>
      </c>
      <c r="B31" s="23" t="s">
        <v>61</v>
      </c>
      <c r="C31" s="23" t="s">
        <v>20</v>
      </c>
      <c r="D31" s="12">
        <v>1</v>
      </c>
      <c r="E31" s="24" t="s">
        <v>25</v>
      </c>
      <c r="F31" s="4" t="s"/>
      <c r="G31" s="24" t="s"/>
      <c r="H31" s="4" t="s"/>
      <c r="I31" s="24" t="s"/>
      <c r="J31" s="13">
        <v>1</v>
      </c>
      <c r="K31" s="24" t="s"/>
      <c r="L31" s="4" t="s"/>
      <c r="M31" s="4" t="s"/>
      <c r="N31" s="4" t="s"/>
      <c r="O31" s="4" t="s"/>
      <c r="P31" s="12">
        <f>=SUM(D31:O31)</f>
        <v>2</v>
      </c>
      <c r="Q31" s="4" t="s"/>
      <c r="R31" s="4" t="s"/>
    </row>
    <row r="32" spans="1:18" s="44">
      <c r="A32" s="23">
        <v>28</v>
      </c>
      <c r="B32" s="23" t="s">
        <v>62</v>
      </c>
      <c r="C32" s="23" t="s">
        <v>20</v>
      </c>
      <c r="D32" s="12">
        <v>1</v>
      </c>
      <c r="E32" s="24" t="s"/>
      <c r="F32" s="4" t="s"/>
      <c r="G32" s="24" t="s"/>
      <c r="H32" s="12">
        <v>1</v>
      </c>
      <c r="I32" s="24" t="s"/>
      <c r="J32" s="13">
        <v>1</v>
      </c>
      <c r="K32" s="24" t="s"/>
      <c r="L32" s="4" t="s"/>
      <c r="M32" s="4" t="s"/>
      <c r="N32" s="4" t="s"/>
      <c r="O32" s="4" t="s"/>
      <c r="P32" s="12">
        <f>=SUM(D32:O32)</f>
        <v>3</v>
      </c>
      <c r="Q32" s="4" t="s"/>
      <c r="R32" s="4" t="s"/>
    </row>
    <row r="33" spans="1:18">
      <c r="A33" s="23">
        <v>29</v>
      </c>
      <c r="B33" s="23" t="s">
        <v>63</v>
      </c>
      <c r="C33" s="23" t="s">
        <v>20</v>
      </c>
      <c r="D33" s="4" t="s"/>
      <c r="E33" s="24" t="s"/>
      <c r="F33" s="12">
        <v>1</v>
      </c>
      <c r="G33" s="24" t="s">
        <v>34</v>
      </c>
      <c r="H33" s="12">
        <v>1</v>
      </c>
      <c r="I33" s="24" t="s">
        <v>31</v>
      </c>
      <c r="J33" s="26" t="s"/>
      <c r="K33" s="24" t="s"/>
      <c r="L33" s="4" t="s"/>
      <c r="M33" s="4" t="s"/>
      <c r="N33" s="4" t="s"/>
      <c r="O33" s="4" t="s"/>
      <c r="P33" s="12">
        <f>=SUM(D33:O33)</f>
        <v>2</v>
      </c>
      <c r="Q33" s="4" t="s"/>
      <c r="R33" s="4" t="s"/>
    </row>
    <row r="34" spans="1:18" s="44">
      <c r="A34" s="23">
        <v>30</v>
      </c>
      <c r="B34" s="23" t="s">
        <v>64</v>
      </c>
      <c r="C34" s="23" t="s">
        <v>20</v>
      </c>
      <c r="D34" s="12">
        <v>1</v>
      </c>
      <c r="E34" s="24" t="s"/>
      <c r="F34" s="4" t="s"/>
      <c r="G34" s="24" t="s"/>
      <c r="H34" s="4" t="s"/>
      <c r="I34" s="24" t="s"/>
      <c r="J34" s="13" t="s"/>
      <c r="K34" s="24" t="s"/>
      <c r="L34" s="4" t="s"/>
      <c r="M34" s="4" t="s"/>
      <c r="N34" s="4" t="s"/>
      <c r="O34" s="4" t="s"/>
      <c r="P34" s="12">
        <f>=SUM(D34:O34)</f>
        <v>1</v>
      </c>
      <c r="Q34" s="12" t="s">
        <v>65</v>
      </c>
      <c r="R34" s="4" t="s"/>
    </row>
    <row r="35" spans="1:18" s="44">
      <c r="A35" s="23">
        <v>31</v>
      </c>
      <c r="B35" s="23" t="s">
        <v>66</v>
      </c>
      <c r="C35" s="23" t="s">
        <v>20</v>
      </c>
      <c r="D35" s="12">
        <v>1</v>
      </c>
      <c r="E35" s="24" t="s"/>
      <c r="F35" s="12">
        <v>1</v>
      </c>
      <c r="G35" s="24" t="s"/>
      <c r="H35" s="4" t="s"/>
      <c r="I35" s="24" t="s"/>
      <c r="J35" s="13">
        <v>1</v>
      </c>
      <c r="K35" s="24" t="s"/>
      <c r="L35" s="4" t="s"/>
      <c r="M35" s="4" t="s"/>
      <c r="N35" s="4" t="s"/>
      <c r="O35" s="4" t="s"/>
      <c r="P35" s="12">
        <f>=SUM(D35:O35)</f>
        <v>3</v>
      </c>
      <c r="Q35" s="4" t="s"/>
      <c r="R35" s="4" t="s"/>
    </row>
    <row r="36" spans="1:18">
      <c r="A36" s="23">
        <v>32</v>
      </c>
      <c r="B36" s="23" t="s">
        <v>67</v>
      </c>
      <c r="C36" s="23" t="s">
        <v>20</v>
      </c>
      <c r="D36" s="12">
        <v>1</v>
      </c>
      <c r="E36" s="24" t="s"/>
      <c r="F36" s="12">
        <v>1</v>
      </c>
      <c r="G36" s="24" t="s">
        <v>35</v>
      </c>
      <c r="H36" s="12">
        <v>1</v>
      </c>
      <c r="I36" s="24" t="s"/>
      <c r="J36" s="26" t="s"/>
      <c r="K36" s="24" t="s"/>
      <c r="L36" s="4" t="s"/>
      <c r="M36" s="4" t="s"/>
      <c r="N36" s="4" t="s"/>
      <c r="O36" s="4" t="s"/>
      <c r="P36" s="12">
        <f>=SUM(D36:O36)</f>
        <v>3</v>
      </c>
      <c r="Q36" s="4" t="s"/>
      <c r="R36" s="4" t="s"/>
    </row>
    <row r="37" spans="1:18" s="44">
      <c r="A37" s="23">
        <v>33</v>
      </c>
      <c r="B37" s="23" t="s">
        <v>68</v>
      </c>
      <c r="C37" s="28" t="s">
        <v>69</v>
      </c>
      <c r="D37" s="12">
        <v>1</v>
      </c>
      <c r="E37" s="24" t="s"/>
      <c r="F37" s="4" t="s"/>
      <c r="G37" s="24" t="s"/>
      <c r="H37" s="4" t="s"/>
      <c r="I37" s="24" t="s"/>
      <c r="J37" s="13">
        <v>1</v>
      </c>
      <c r="K37" s="24" t="s"/>
      <c r="L37" s="4" t="s"/>
      <c r="M37" s="4" t="s"/>
      <c r="N37" s="4" t="s"/>
      <c r="O37" s="4" t="s"/>
      <c r="P37" s="12">
        <f>=SUM(D37:O37)</f>
        <v>2</v>
      </c>
      <c r="Q37" s="4" t="s"/>
      <c r="R37" s="4" t="s"/>
    </row>
    <row r="38" spans="1:18" s="44">
      <c r="A38" s="23">
        <v>34</v>
      </c>
      <c r="B38" s="23" t="s">
        <v>70</v>
      </c>
      <c r="C38" s="28" t="s">
        <v>69</v>
      </c>
      <c r="D38" s="4" t="s"/>
      <c r="E38" s="24" t="s"/>
      <c r="F38" s="12">
        <v>1</v>
      </c>
      <c r="G38" s="24" t="s"/>
      <c r="H38" s="4" t="s"/>
      <c r="I38" s="24" t="s"/>
      <c r="J38" s="13" t="s"/>
      <c r="K38" s="24" t="s"/>
      <c r="L38" s="4" t="s"/>
      <c r="M38" s="4" t="s"/>
      <c r="N38" s="4" t="s"/>
      <c r="O38" s="4" t="s"/>
      <c r="P38" s="12">
        <f>=SUM(D38:O38)</f>
        <v>1</v>
      </c>
      <c r="Q38" s="4" t="s"/>
      <c r="R38" s="4" t="s"/>
    </row>
    <row r="39" spans="1:18" s="44">
      <c r="A39" s="23">
        <v>35</v>
      </c>
      <c r="B39" s="23" t="s">
        <v>71</v>
      </c>
      <c r="C39" s="28" t="s">
        <v>69</v>
      </c>
      <c r="D39" s="12">
        <v>1</v>
      </c>
      <c r="E39" s="24" t="s"/>
      <c r="F39" s="12" t="s"/>
      <c r="G39" s="24" t="s"/>
      <c r="H39" s="4" t="s"/>
      <c r="I39" s="24" t="s"/>
      <c r="J39" s="13" t="s"/>
      <c r="K39" s="24" t="s"/>
      <c r="L39" s="4" t="s"/>
      <c r="M39" s="4" t="s"/>
      <c r="N39" s="4" t="s"/>
      <c r="O39" s="4" t="s"/>
      <c r="P39" s="12">
        <f>=SUM(D39:O39)</f>
        <v>1</v>
      </c>
      <c r="Q39" s="4" t="s"/>
      <c r="R39" s="4" t="s"/>
    </row>
    <row r="40" spans="1:18" s="44">
      <c r="A40" s="23">
        <v>36</v>
      </c>
      <c r="B40" s="23" t="s">
        <v>72</v>
      </c>
      <c r="C40" s="28" t="s">
        <v>69</v>
      </c>
      <c r="D40" s="4" t="s"/>
      <c r="E40" s="24" t="s"/>
      <c r="F40" s="12">
        <v>1</v>
      </c>
      <c r="G40" s="24" t="s"/>
      <c r="H40" s="4" t="s"/>
      <c r="I40" s="24" t="s"/>
      <c r="J40" s="13" t="s"/>
      <c r="K40" s="24" t="s"/>
      <c r="L40" s="4" t="s"/>
      <c r="M40" s="4" t="s"/>
      <c r="N40" s="4" t="s"/>
      <c r="O40" s="4" t="s"/>
      <c r="P40" s="12">
        <f>=SUM(D40:O40)</f>
        <v>1</v>
      </c>
      <c r="Q40" s="12" t="s">
        <v>54</v>
      </c>
      <c r="R40" s="4" t="s"/>
    </row>
    <row r="41" spans="1:18" s="44">
      <c r="A41" s="29" t="s"/>
      <c r="B41" s="13" t="s">
        <v>73</v>
      </c>
      <c r="C41" s="30" t="s">
        <v>74</v>
      </c>
      <c r="D41" s="4">
        <v>1</v>
      </c>
      <c r="E41" s="24" t="s"/>
      <c r="F41" s="12" t="s"/>
      <c r="G41" s="24" t="s"/>
      <c r="H41" s="4" t="s"/>
      <c r="I41" s="24" t="s"/>
      <c r="J41" s="13" t="s"/>
      <c r="K41" s="24" t="s"/>
      <c r="L41" s="4" t="s"/>
      <c r="M41" s="4" t="s"/>
      <c r="N41" s="4" t="s"/>
      <c r="O41" s="4" t="s"/>
      <c r="P41" s="12" t="s"/>
      <c r="Q41" s="12" t="s"/>
      <c r="R41" s="4" t="s"/>
    </row>
    <row r="42" spans="1:18" s="44">
      <c r="A42" s="29" t="s"/>
      <c r="B42" s="31" t="s">
        <v>75</v>
      </c>
      <c r="C42" s="30" t="s">
        <v>74</v>
      </c>
      <c r="D42" s="4">
        <v>1</v>
      </c>
      <c r="E42" s="24" t="s"/>
      <c r="F42" s="12" t="s"/>
      <c r="G42" s="24" t="s"/>
      <c r="H42" s="4" t="s"/>
      <c r="I42" s="24" t="s"/>
      <c r="J42" s="13" t="s"/>
      <c r="K42" s="24" t="s"/>
      <c r="L42" s="4" t="s"/>
      <c r="M42" s="4" t="s"/>
      <c r="N42" s="4" t="s"/>
      <c r="O42" s="4" t="s"/>
      <c r="P42" s="12" t="s"/>
      <c r="Q42" s="12" t="s"/>
      <c r="R42" s="4" t="s"/>
    </row>
    <row r="43" spans="1:18" s="44">
      <c r="A43" s="29" t="s"/>
      <c r="B43" s="31" t="s">
        <v>76</v>
      </c>
      <c r="C43" s="30" t="s">
        <v>74</v>
      </c>
      <c r="D43" s="4" t="s"/>
      <c r="E43" s="24" t="s"/>
      <c r="F43" s="12" t="s"/>
      <c r="G43" s="24" t="s"/>
      <c r="H43" s="4" t="s"/>
      <c r="I43" s="24" t="s"/>
      <c r="J43" s="13">
        <v>1</v>
      </c>
      <c r="K43" s="24" t="s"/>
      <c r="L43" s="4" t="s"/>
      <c r="M43" s="4" t="s"/>
      <c r="N43" s="4" t="s"/>
      <c r="O43" s="4" t="s"/>
      <c r="P43" s="12" t="s"/>
      <c r="Q43" s="12" t="s"/>
      <c r="R43" s="4" t="s"/>
    </row>
    <row r="44" spans="1:18" s="44">
      <c r="A44" s="29" t="s"/>
      <c r="B44" s="31" t="s">
        <v>77</v>
      </c>
      <c r="C44" s="32" t="s">
        <v>78</v>
      </c>
      <c r="D44" s="4" t="s"/>
      <c r="E44" s="24" t="s"/>
      <c r="F44" s="12" t="s"/>
      <c r="G44" s="24" t="s"/>
      <c r="H44" s="4" t="s"/>
      <c r="I44" s="24" t="s"/>
      <c r="J44" s="13">
        <v>1</v>
      </c>
      <c r="K44" s="24" t="s"/>
      <c r="L44" s="4" t="s"/>
      <c r="M44" s="4" t="s"/>
      <c r="N44" s="4" t="s"/>
      <c r="O44" s="4" t="s"/>
      <c r="P44" s="12" t="s"/>
      <c r="Q44" s="12" t="s"/>
      <c r="R44" s="4" t="s"/>
    </row>
    <row r="45" spans="1:17" s="4">
      <c r="A45" s="29" t="s"/>
      <c r="B45" s="26" t="s">
        <v>79</v>
      </c>
      <c r="C45" s="33" t="s">
        <v>74</v>
      </c>
      <c r="E45" s="24" t="s"/>
      <c r="F45" s="12" t="s"/>
      <c r="G45" s="24" t="s"/>
      <c r="I45" s="24" t="s"/>
      <c r="J45" s="13">
        <v>1</v>
      </c>
      <c r="K45" s="24" t="s"/>
      <c r="P45" s="12" t="s"/>
      <c r="Q45" s="12" t="s"/>
    </row>
    <row r="46" spans="2:16" s="35">
      <c r="B46" s="34" t="s"/>
      <c r="D46" s="35">
        <f>=SUM(D5:D44)</f>
        <v>24</v>
      </c>
      <c r="F46" s="35">
        <f>=SUM(F5:F40)</f>
        <v>16</v>
      </c>
      <c r="H46" s="35">
        <f>=SUM(H5:H40)</f>
        <v>14</v>
      </c>
      <c r="I46" s="36" t="s"/>
      <c r="J46" s="34">
        <f>=SUM(J5:J45)</f>
        <v>16</v>
      </c>
      <c r="P46" s="35" t="s"/>
    </row>
    <row r="48" spans="1:1">
      <c r="A48" t="s">
        <v>80</v>
      </c>
    </row>
    <row r="49" spans="1:4">
      <c r="A49" s="37" t="s">
        <v>81</v>
      </c>
      <c r="B49" s="38" t="s"/>
      <c r="D49" t="s">
        <v>82</v>
      </c>
    </row>
    <row r="50" spans="1:4">
      <c r="A50" s="39" t="s"/>
      <c r="B50" s="40" t="s"/>
      <c r="D50" t="s">
        <v>83</v>
      </c>
    </row>
    <row r="51" spans="1:5">
      <c r="A51" s="39" t="s"/>
      <c r="B51" s="40" t="s"/>
      <c r="D51" t="s">
        <v>84</v>
      </c>
      <c r="E51" t="s">
        <v>85</v>
      </c>
    </row>
    <row r="52" spans="1:4">
      <c r="A52" s="39" t="s"/>
      <c r="B52" s="40" t="s"/>
      <c r="D52" t="s">
        <v>86</v>
      </c>
    </row>
    <row r="53" spans="1:4">
      <c r="A53" s="39" t="s"/>
      <c r="B53" s="40" t="s"/>
      <c r="D53" t="s">
        <v>87</v>
      </c>
    </row>
    <row r="54" spans="1:4">
      <c r="A54" s="41" t="s"/>
      <c r="B54" s="42" t="s"/>
      <c r="D54" t="s">
        <v>88</v>
      </c>
    </row>
    <row r="56" spans="1:4">
      <c r="A56" s="43" t="s">
        <v>89</v>
      </c>
      <c r="B56" s="38" t="s"/>
      <c r="D56" t="s">
        <v>90</v>
      </c>
    </row>
    <row r="57" spans="1:4">
      <c r="A57" s="41" t="s"/>
      <c r="B57" s="42" t="s"/>
      <c r="D57" t="s">
        <v>91</v>
      </c>
    </row>
  </sheetData>
  <autoFilter ref="A4:R46">
    <sortState ref="A5:R46"/>
  </autoFilter>
  <mergeCells count="14">
    <mergeCell ref="C2:D2"/>
    <mergeCell ref="A3:A4"/>
    <mergeCell ref="B3:B4"/>
    <mergeCell ref="C3:C4"/>
    <mergeCell ref="P3:P4"/>
    <mergeCell ref="F4:G4"/>
    <mergeCell ref="H4:I4"/>
    <mergeCell ref="J4:K4"/>
    <mergeCell ref="D4:E4"/>
    <mergeCell ref="A49:B54"/>
    <mergeCell ref="Q3:Q4"/>
    <mergeCell ref="A56:B57"/>
    <mergeCell ref="B1:P1"/>
    <mergeCell ref="D3:O3"/>
  </mergeCells>
  <dataValidations>
    <dataValidation type="list" errorStyle="stop" allowBlank="true" showDropDown="false" showInputMessage="true" showErrorMessage="true" prompt="" sqref="E5:E45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G5:G45">
      <formula1>"主持人,小组长,筹委会,TED Talk,学习代表,组长,带游戏,"</formula1>
    </dataValidation>
    <dataValidation type="list" errorStyle="stop" allowBlank="true" showDropDown="false" showInputMessage="true" showErrorMessage="true" prompt="" sqref="I5:I12">
      <formula1>"主持人,小组长,筹委会,TED Talk,学习代表,组长,带游戏,"</formula1>
    </dataValidation>
    <dataValidation type="list" errorStyle="stop" allowBlank="true" showDropDown="false" showInputMessage="true" showErrorMessage="true" prompt="" sqref="I13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I14:I45">
      <formula1>"主持人,小组长,筹委会,TED Talk,学习代表,组长,带游戏,"</formula1>
    </dataValidation>
    <dataValidation type="list" errorStyle="stop" allowBlank="true" showDropDown="false" showInputMessage="true" showErrorMessage="true" prompt="" sqref="K5:K6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K8:K15">
      <formula1>"主持人,小组长,筹委会,TED Talk,学习代表,组长,带游戏,教练一对一,"</formula1>
    </dataValidation>
    <dataValidation type="list" errorStyle="stop" allowBlank="true" showDropDown="false" showInputMessage="true" showErrorMessage="true" prompt="" sqref="K17:K45">
      <formula1>"主持人,小组长,筹委会,TED Talk,学习代表,组长,带游戏,教练一对一,"</formula1>
    </dataValidation>
  </dataValidations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2026-03-30T15:22:03Z</dcterms:created>
  <dcterms:modified xsi:type="dcterms:W3CDTF">2026-03-30T15:22:03Z</dcterms:modified>
</cp:coreProperties>
</file>