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4会员参与情况" sheetId="1" r:id="rId3"/>
  </sheets>
  <calcPr/>
</workbook>
</file>

<file path=xl/sharedStrings.xml><?xml version="1.0" encoding="utf-8"?>
<sst xmlns="http://schemas.openxmlformats.org/spreadsheetml/2006/main" count="94" uniqueCount="94">
  <si>
    <t/>
  </si>
  <si>
    <t>2025会员参与YOLO+情况</t>
  </si>
  <si>
    <t>年度最多参与次数：</t>
  </si>
  <si>
    <t>年度最少参与次数：</t>
  </si>
  <si>
    <t>年度平均参与次数：</t>
  </si>
  <si>
    <t>序号</t>
  </si>
  <si>
    <t>会员姓名</t>
  </si>
  <si>
    <t>类别</t>
  </si>
  <si>
    <t>会员年度（202506-202605）</t>
  </si>
  <si>
    <t>参与总计</t>
  </si>
  <si>
    <t>备注</t>
  </si>
  <si>
    <t>烟台活动</t>
  </si>
  <si>
    <t>郑州变革管理模块</t>
  </si>
  <si>
    <t>中东海外游学</t>
  </si>
  <si>
    <t>苏州年会活动</t>
  </si>
  <si>
    <t>26年3月区域活动</t>
  </si>
  <si>
    <t>上海小组活动</t>
  </si>
  <si>
    <t>大湾区小组活动</t>
  </si>
  <si>
    <t>导师一对一（coach）</t>
  </si>
  <si>
    <t>导师一对一（Gallup）</t>
  </si>
  <si>
    <t>蒋柳璟子</t>
  </si>
  <si>
    <t>现届会员</t>
  </si>
  <si>
    <t>主持人</t>
  </si>
  <si>
    <t>小组长</t>
  </si>
  <si>
    <t>罗琦玥</t>
  </si>
  <si>
    <t>王骁</t>
  </si>
  <si>
    <t>筹委会</t>
  </si>
  <si>
    <t>吴昌鸿</t>
  </si>
  <si>
    <t>TED Talk</t>
  </si>
  <si>
    <t>徐志谦</t>
  </si>
  <si>
    <t>主持人,带游戏</t>
  </si>
  <si>
    <t>张嘉沁</t>
  </si>
  <si>
    <t>学习代表</t>
  </si>
  <si>
    <t>邓礼睿</t>
  </si>
  <si>
    <t>带游戏</t>
  </si>
  <si>
    <t>胡润卿</t>
  </si>
  <si>
    <t>艾佳宁</t>
  </si>
  <si>
    <t>林安之</t>
  </si>
  <si>
    <t>高直方</t>
  </si>
  <si>
    <t>吴梓萌</t>
  </si>
  <si>
    <t>潘佳瑜</t>
  </si>
  <si>
    <t>范晓雁</t>
  </si>
  <si>
    <t>组长</t>
  </si>
  <si>
    <t>詹卓凡</t>
  </si>
  <si>
    <t>建议：小组长</t>
  </si>
  <si>
    <t>林海</t>
  </si>
  <si>
    <t>苏炜烔</t>
  </si>
  <si>
    <t>林佳炜</t>
  </si>
  <si>
    <t>建议：学习代表</t>
  </si>
  <si>
    <t>宣文馨</t>
  </si>
  <si>
    <t>沈  吟</t>
  </si>
  <si>
    <t>杭一璐</t>
  </si>
  <si>
    <t>葛汉</t>
  </si>
  <si>
    <t>彭雨(彭唐心)</t>
  </si>
  <si>
    <t>往届会员</t>
  </si>
  <si>
    <t>李博源</t>
  </si>
  <si>
    <t>解凰尉</t>
  </si>
  <si>
    <t>新增会员</t>
  </si>
  <si>
    <t>高秋闲</t>
  </si>
  <si>
    <t>李维韵</t>
  </si>
  <si>
    <t>建议：线上活动策划</t>
  </si>
  <si>
    <t>苏雨</t>
  </si>
  <si>
    <t>高嘉瞳</t>
  </si>
  <si>
    <t>毕伟杰</t>
  </si>
  <si>
    <t>陆怡霖</t>
  </si>
  <si>
    <t>陈其乐</t>
  </si>
  <si>
    <t>宗羱</t>
  </si>
  <si>
    <t>达美欣</t>
  </si>
  <si>
    <t>Tony</t>
  </si>
  <si>
    <t>潜在会员</t>
  </si>
  <si>
    <t>林青桐</t>
  </si>
  <si>
    <t>阮赛茜</t>
  </si>
  <si>
    <t>谢承熹</t>
  </si>
  <si>
    <t>宋相濡</t>
  </si>
  <si>
    <t>李嘉怡</t>
  </si>
  <si>
    <t>博媛</t>
  </si>
  <si>
    <t>Angela</t>
  </si>
  <si>
    <t xml:space="preserve"> Howard</t>
  </si>
  <si>
    <t>bill</t>
  </si>
  <si>
    <t>唐凯飞</t>
  </si>
  <si>
    <t>杜晓欣</t>
  </si>
  <si>
    <t>林乐怡</t>
  </si>
  <si>
    <t>半年计划</t>
  </si>
  <si>
    <t>一次没参加线下活动同学</t>
  </si>
  <si>
    <t>导师一对一</t>
  </si>
  <si>
    <t>教练一对一</t>
  </si>
  <si>
    <t>线上私董会</t>
  </si>
  <si>
    <t>针对学生群体</t>
  </si>
  <si>
    <t>线上分享会</t>
  </si>
  <si>
    <t>温岭活动跟进回国同学</t>
  </si>
  <si>
    <t>Jenny帮忙跟进一两个完全不活跃的同学</t>
  </si>
  <si>
    <t>参加过活动没担任过角色</t>
  </si>
  <si>
    <t>温岭活动担任角色</t>
  </si>
  <si>
    <t>线上活动担任策划角色</t>
  </si>
</sst>
</file>

<file path=xl/styles.xml><?xml version="1.0" encoding="utf-8"?>
<styleSheet xmlns="http://schemas.openxmlformats.org/spreadsheetml/2006/main"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color rgb="FF000000"/>
    </font>
    <font>
      <name val="SimSun"/>
      <sz val="11"/>
    </font>
    <font>
      <name val="Microsoft YaHei"/>
      <sz val="11"/>
    </font>
    <font>
      <sz val="9"/>
    </font>
    <font/>
  </fonts>
  <fills count="15">
    <fill>
      <patternFill patternType="none"/>
    </fill>
    <fill>
      <patternFill patternType="gray125"/>
    </fill>
    <fill>
      <patternFill patternType="solid">
        <fgColor rgb="FF98D7B6"/>
        <bgColor auto="true"/>
      </patternFill>
    </fill>
    <fill>
      <patternFill patternType="solid">
        <fgColor rgb="FFC3EAD5"/>
        <bgColor auto="true"/>
      </patternFill>
    </fill>
    <fill>
      <patternFill patternType="none"/>
    </fill>
    <fill>
      <patternFill patternType="solid">
        <fgColor rgb="FF00B0F0"/>
        <bgColor auto="true"/>
      </patternFill>
    </fill>
    <fill>
      <patternFill patternType="none"/>
    </fill>
    <fill>
      <patternFill patternType="none"/>
    </fill>
    <fill>
      <patternFill patternType="solid">
        <fgColor rgb="FFFFBA84"/>
        <bgColor auto="true"/>
      </patternFill>
    </fill>
    <fill>
      <patternFill patternType="solid">
        <fgColor rgb="FF70AD47"/>
        <bgColor auto="true"/>
      </patternFill>
    </fill>
    <fill>
      <patternFill patternType="solid">
        <fgColor rgb="FF70AD47"/>
        <bgColor auto="true"/>
      </patternFill>
    </fill>
    <fill/>
    <fill>
      <patternFill patternType="solid">
        <fgColor rgb="FFFDEBFF"/>
      </patternFill>
    </fill>
    <fill>
      <patternFill patternType="solid">
        <fgColor rgb="FFFFFF00"/>
      </patternFill>
    </fill>
    <fill>
      <patternFill patternType="none">
        <fgColor rgb="FFFFEEAD"/>
        <bgColor auto="true"/>
      </patternFill>
    </fill>
  </fills>
  <borders count="16">
    <border>
      <left/>
      <right/>
      <top/>
      <bottom/>
      <diagonal/>
    </border>
    <border/>
    <border/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/>
    <border/>
    <border/>
    <border/>
    <border/>
    <border/>
  </borders>
  <cellStyleXfs>
    <xf numFmtId="0" fontId="0" fillId="0" borderId="0" xfId="0">
      <alignment vertical="center"/>
    </xf>
  </cellStyleXfs>
  <cellXfs count="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0" xfId="0">
      <alignment vertical="center"/>
    </xf>
    <xf fontId="4" fillId="0" borderId="0" xfId="0">
      <alignment horizontal="center" vertical="center"/>
    </xf>
    <xf numFmtId="0" fontId="4" fillId="0" borderId="0" xfId="0">
      <alignment horizontal="center" vertical="center"/>
    </xf>
    <xf fontId="4" fillId="0" borderId="0" xfId="0">
      <alignment vertical="center" wrapText="true"/>
    </xf>
    <xf numFmtId="0" fontId="4" fillId="0" borderId="0" xfId="0">
      <alignment vertical="center"/>
    </xf>
    <xf fontId="0" fillId="2" borderId="0" xfId="0">
      <alignment horizontal="center" vertical="center"/>
    </xf>
    <xf fontId="0" fillId="2" borderId="0" xfId="0">
      <alignment vertical="center"/>
    </xf>
    <xf fontId="0" fillId="3" borderId="1" xfId="0">
      <alignment horizontal="center" vertical="center"/>
    </xf>
    <xf fontId="0" fillId="2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5" fillId="4" borderId="5" xfId="0">
      <alignment horizontal="center" vertical="center"/>
    </xf>
    <xf fontId="6" fillId="4" borderId="5" xfId="0">
      <alignment horizontal="center" vertical="center" textRotation="0" indent="0" justifyLastLine="false" shrinkToFit="false"/>
    </xf>
    <xf fontId="6" fillId="5" borderId="5" xfId="0">
      <alignment horizontal="center" vertical="center" textRotation="0" indent="0" justifyLastLine="false" shrinkToFit="false"/>
    </xf>
    <xf fontId="0" fillId="6" borderId="0" xfId="0">
      <alignment vertical="center"/>
    </xf>
    <xf fontId="7" fillId="7" borderId="0" xfId="0">
      <alignment vertical="center" wrapText="false"/>
    </xf>
    <xf fontId="7" fillId="4" borderId="0" xfId="0">
      <alignment vertical="center" wrapText="false"/>
    </xf>
    <xf fontId="0" fillId="4" borderId="0" xfId="0">
      <alignment vertical="center"/>
    </xf>
    <xf fontId="7" fillId="6" borderId="0" xfId="0">
      <alignment vertical="center" wrapText="false"/>
    </xf>
    <xf fontId="5" fillId="6" borderId="5" xfId="0">
      <alignment horizontal="center" vertical="center"/>
    </xf>
    <xf fontId="6" fillId="6" borderId="5" xfId="0">
      <alignment horizontal="center" vertical="center" textRotation="0" indent="0" justifyLastLine="false" shrinkToFit="false"/>
    </xf>
    <xf fontId="0" fillId="4" borderId="0" xfId="0">
      <alignment horizontal="right" vertical="center"/>
    </xf>
    <xf fontId="6" fillId="4" borderId="6" xfId="0">
      <alignment horizontal="center" vertical="center" textRotation="0" indent="0" justifyLastLine="false" shrinkToFit="false"/>
    </xf>
    <xf fontId="6" fillId="5" borderId="6" xfId="0">
      <alignment horizontal="center" vertical="center" textRotation="0" indent="0" justifyLastLine="false" shrinkToFit="false"/>
    </xf>
    <xf fontId="6" fillId="8" borderId="5" xfId="0">
      <alignment horizontal="center" vertical="center" textRotation="0" indent="0" justifyLastLine="false" shrinkToFit="false"/>
    </xf>
    <xf fontId="6" fillId="9" borderId="5" xfId="0">
      <alignment horizontal="center" vertical="center" textRotation="0" indent="0" justifyLastLine="false" shrinkToFit="false"/>
    </xf>
    <xf fontId="6" fillId="9" borderId="7" xfId="0">
      <alignment horizontal="center" vertical="center" textRotation="0" indent="0" justifyLastLine="false" shrinkToFit="false"/>
    </xf>
    <xf fontId="6" fillId="4" borderId="8" xfId="0">
      <alignment horizontal="center" vertical="center" textRotation="0" indent="0" justifyLastLine="false" shrinkToFit="false"/>
    </xf>
    <xf fontId="6" fillId="10" borderId="9" xfId="0">
      <alignment horizontal="center" vertical="center" textRotation="0" indent="0" justifyLastLine="false" shrinkToFit="false"/>
    </xf>
    <xf fontId="0" fillId="6" borderId="0" xfId="0">
      <alignment vertical="center" wrapText="true"/>
    </xf>
    <xf fontId="5" fillId="6" borderId="0" xfId="0">
      <alignment horizontal="center" vertical="center"/>
    </xf>
    <xf fontId="8" fillId="11" borderId="0" xfId="0">
      <alignment horizontal="center" vertical="center" textRotation="0" indent="0" justifyLastLine="false" shrinkToFit="false"/>
    </xf>
    <xf fontId="6" fillId="12" borderId="0" xfId="0">
      <alignment horizontal="center" vertical="center" textRotation="0" indent="0" justifyLastLine="false" shrinkToFit="false"/>
    </xf>
    <xf fontId="6" fillId="0" borderId="0" xfId="0">
      <alignment horizontal="center" vertical="center" textRotation="0" indent="0" justifyLastLine="false" shrinkToFit="false"/>
    </xf>
    <xf fontId="0" fillId="13" borderId="0" xfId="0">
      <alignment vertical="center"/>
    </xf>
    <xf fontId="7" fillId="13" borderId="0" xfId="0">
      <alignment vertical="center" wrapText="false"/>
    </xf>
    <xf fontId="0" fillId="0" borderId="1" xfId="0">
      <alignment horizontal="center"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0" fillId="14" borderId="0" xfId="0">
      <alignment vertical="center"/>
    </xf>
    <xf fontId="0" fillId="0" borderId="0" xfId="0">
      <alignment horizontal="center"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4会员参与情况">
    <tabColor rgb="FFFFFFFF"/>
  </sheetPr>
  <dimension ref="D63"/>
  <sheetViews>
    <sheetView showGridLines="true" workbookViewId="0">
      <pane xSplit="3" topLeftCell="D1" state="frozen"/>
    </sheetView>
  </sheetViews>
  <cols>
    <col min="1" max="1" width="9.98438" customWidth="true"/>
    <col min="3" max="3" width="16.7344" customWidth="true"/>
    <col min="4" max="5" width="10.3828" customWidth="true"/>
    <col min="6" max="7" width="10.6523" customWidth="true"/>
    <col min="8" max="8" width="8.09375" customWidth="true"/>
    <col min="9" max="9" width="12.8125" style="50" customWidth="true"/>
    <col min="10" max="13" width="11.332" customWidth="true"/>
    <col min="14" max="15" width="12.2734" customWidth="true"/>
    <col min="18" max="18" width="11.4609" customWidth="true"/>
    <col min="19" max="19" width="12.0039" customWidth="true"/>
    <col min="21" max="21" width="17.9414" customWidth="true"/>
  </cols>
  <sheetData>
    <row r="1" spans="2:17">
      <c r="B1" s="4" t="s">
        <v>1</v>
      </c>
      <c r="E1" s="4" t="s"/>
      <c r="G1" s="4" t="s"/>
      <c r="I1" s="4" t="s"/>
      <c r="J1" s="4" t="s"/>
      <c r="K1" s="4" t="s"/>
      <c r="M1" s="4" t="s"/>
      <c r="O1" s="4" t="s"/>
      <c r="Q1" s="4" t="s"/>
    </row>
    <row r="2" spans="1:20">
      <c r="A2" s="5" t="s">
        <v>2</v>
      </c>
      <c r="B2" s="6" t="s"/>
      <c r="C2" s="7">
        <f>=MAX(T5:T10010)</f>
        <v>4</v>
      </c>
      <c r="E2" s="7" t="s"/>
      <c r="F2" s="5" t="s">
        <v>3</v>
      </c>
      <c r="G2" s="5" t="s"/>
      <c r="H2" s="5">
        <f>=MIN(T5:T38)</f>
        <v>0</v>
      </c>
      <c r="I2" s="8" t="s"/>
      <c r="J2" s="9" t="s"/>
      <c r="K2" s="9" t="s"/>
      <c r="L2" s="9" t="s"/>
      <c r="M2" s="9" t="s"/>
      <c r="N2" s="5" t="s">
        <v>4</v>
      </c>
      <c r="O2" s="5" t="s"/>
      <c r="P2" s="5">
        <f>=AVERAGE(T5:T38)</f>
        <v>1.73529411764706</v>
      </c>
      <c r="Q2" s="5" t="s"/>
      <c r="R2" s="9" t="s"/>
      <c r="S2" s="5" t="s"/>
      <c r="T2" s="6" t="s"/>
    </row>
    <row r="3" spans="1:21">
      <c r="A3" s="10" t="s">
        <v>5</v>
      </c>
      <c r="B3" s="10" t="s">
        <v>6</v>
      </c>
      <c r="C3" s="10" t="s">
        <v>7</v>
      </c>
      <c r="D3" s="11" t="s">
        <v>8</v>
      </c>
      <c r="E3" s="11" t="s"/>
      <c r="G3" s="11" t="s"/>
      <c r="I3" s="11" t="s"/>
      <c r="J3" s="11" t="s"/>
      <c r="K3" s="11" t="s"/>
      <c r="M3" s="11" t="s"/>
      <c r="O3" s="11" t="s"/>
      <c r="Q3" s="11" t="s"/>
      <c r="T3" s="10" t="s">
        <v>9</v>
      </c>
      <c r="U3" s="12" t="s">
        <v>10</v>
      </c>
    </row>
    <row r="4" spans="4:21">
      <c r="D4" s="13" t="s">
        <v>11</v>
      </c>
      <c r="E4" s="10" t="s"/>
      <c r="F4" s="13" t="s">
        <v>12</v>
      </c>
      <c r="G4" s="10" t="s"/>
      <c r="H4" s="13" t="s">
        <v>13</v>
      </c>
      <c r="I4" s="10" t="s"/>
      <c r="J4" s="13" t="s">
        <v>14</v>
      </c>
      <c r="K4" s="14" t="s"/>
      <c r="L4" s="13" t="s">
        <v>15</v>
      </c>
      <c r="M4" s="10" t="s"/>
      <c r="N4" s="10" t="s">
        <v>16</v>
      </c>
      <c r="P4" s="10" t="s">
        <v>17</v>
      </c>
      <c r="R4" s="11" t="s">
        <v>18</v>
      </c>
      <c r="S4" s="11" t="s">
        <v>19</v>
      </c>
      <c r="U4" s="15" t="s"/>
    </row>
    <row r="5" spans="1:20" s="22" customFormat="true">
      <c r="A5" s="16">
        <v>1</v>
      </c>
      <c r="B5" s="17" t="s">
        <v>20</v>
      </c>
      <c r="C5" s="18" t="s">
        <v>21</v>
      </c>
      <c r="D5" s="19">
        <v>1</v>
      </c>
      <c r="E5" s="20" t="s">
        <v>22</v>
      </c>
      <c r="G5" s="21" t="s"/>
      <c r="H5" s="19">
        <v>1</v>
      </c>
      <c r="I5" s="21" t="s"/>
      <c r="J5" s="19">
        <v>1</v>
      </c>
      <c r="K5" s="21" t="s">
        <v>23</v>
      </c>
      <c r="M5" s="21" t="s"/>
      <c r="O5" s="21" t="s"/>
      <c r="Q5" s="21" t="s"/>
      <c r="T5" s="22">
        <f>=SUM(D5:M5)</f>
        <v>3</v>
      </c>
    </row>
    <row r="6" spans="1:20" s="22" customFormat="true">
      <c r="A6" s="16">
        <v>2</v>
      </c>
      <c r="B6" s="17" t="s">
        <v>24</v>
      </c>
      <c r="C6" s="18" t="s">
        <v>21</v>
      </c>
      <c r="D6" s="19">
        <v>1</v>
      </c>
      <c r="E6" s="21" t="s"/>
      <c r="G6" s="21" t="s"/>
      <c r="I6" s="21" t="s"/>
      <c r="K6" s="21" t="s"/>
      <c r="M6" s="21" t="s"/>
      <c r="O6" s="21" t="s"/>
      <c r="Q6" s="21" t="s"/>
      <c r="T6" s="22">
        <f>=SUM(D6:M6)</f>
        <v>1</v>
      </c>
    </row>
    <row r="7" spans="1:22" s="22" customFormat="true">
      <c r="A7" s="16">
        <v>3</v>
      </c>
      <c r="B7" s="17" t="s">
        <v>25</v>
      </c>
      <c r="C7" s="18" t="s">
        <v>21</v>
      </c>
      <c r="D7" s="19">
        <v>1</v>
      </c>
      <c r="E7" s="21" t="s"/>
      <c r="F7" s="19">
        <v>1</v>
      </c>
      <c r="G7" s="21" t="s"/>
      <c r="I7" s="21" t="s"/>
      <c r="J7" s="19">
        <v>1</v>
      </c>
      <c r="K7" s="21" t="s">
        <v>22</v>
      </c>
      <c r="M7" s="21" t="s"/>
      <c r="N7" s="19">
        <v>1</v>
      </c>
      <c r="O7" s="23" t="s"/>
      <c r="P7" s="19">
        <v>1</v>
      </c>
      <c r="Q7" s="23" t="s">
        <v>26</v>
      </c>
      <c r="T7" s="22">
        <f>=SUM(D7:M7)</f>
        <v>3</v>
      </c>
      <c r="V7" s="22" t="s">
        <v>23</v>
      </c>
    </row>
    <row r="8" spans="1:22" s="22" customFormat="true">
      <c r="A8" s="16">
        <v>4</v>
      </c>
      <c r="B8" s="17" t="s">
        <v>27</v>
      </c>
      <c r="C8" s="18" t="s">
        <v>21</v>
      </c>
      <c r="D8" s="19">
        <v>1</v>
      </c>
      <c r="E8" s="21" t="s">
        <v>22</v>
      </c>
      <c r="G8" s="21" t="s"/>
      <c r="I8" s="21" t="s"/>
      <c r="K8" s="21" t="s"/>
      <c r="M8" s="21" t="s"/>
      <c r="O8" s="21" t="s"/>
      <c r="Q8" s="21" t="s"/>
      <c r="T8" s="22">
        <f>=SUM(D8:M8)</f>
        <v>1</v>
      </c>
      <c r="V8" s="22" t="s">
        <v>28</v>
      </c>
    </row>
    <row r="9" spans="1:22" s="22" customFormat="true">
      <c r="A9" s="16">
        <v>5</v>
      </c>
      <c r="B9" s="17" t="s">
        <v>29</v>
      </c>
      <c r="C9" s="18" t="s">
        <v>21</v>
      </c>
      <c r="D9" s="19">
        <v>1</v>
      </c>
      <c r="E9" s="21" t="s"/>
      <c r="G9" s="21" t="s"/>
      <c r="I9" s="21" t="s"/>
      <c r="J9" s="19">
        <v>1</v>
      </c>
      <c r="K9" s="21" t="s">
        <v>30</v>
      </c>
      <c r="M9" s="21" t="s"/>
      <c r="O9" s="21" t="s"/>
      <c r="P9" s="19">
        <v>1</v>
      </c>
      <c r="Q9" s="23" t="s"/>
      <c r="T9" s="22">
        <f>=SUM(D9:M9)</f>
        <v>2</v>
      </c>
      <c r="V9" s="22" t="s">
        <v>22</v>
      </c>
    </row>
    <row r="10" spans="1:22" s="22" customFormat="true">
      <c r="A10" s="16">
        <v>6</v>
      </c>
      <c r="B10" s="17" t="s">
        <v>31</v>
      </c>
      <c r="C10" s="18" t="s">
        <v>21</v>
      </c>
      <c r="E10" s="21" t="s"/>
      <c r="G10" s="21" t="s"/>
      <c r="I10" s="21" t="s"/>
      <c r="K10" s="21" t="s"/>
      <c r="M10" s="21" t="s"/>
      <c r="O10" s="21" t="s"/>
      <c r="Q10" s="21" t="s"/>
      <c r="T10" s="22">
        <f>=SUM(D10:M10)</f>
        <v>0</v>
      </c>
      <c r="V10" s="22" t="s">
        <v>32</v>
      </c>
    </row>
    <row r="11" spans="1:20" s="22" customFormat="true">
      <c r="A11" s="16">
        <v>7</v>
      </c>
      <c r="B11" s="17" t="s">
        <v>33</v>
      </c>
      <c r="C11" s="18" t="s">
        <v>21</v>
      </c>
      <c r="D11" s="19">
        <v>1</v>
      </c>
      <c r="E11" s="21" t="s">
        <v>34</v>
      </c>
      <c r="F11" s="19">
        <v>1</v>
      </c>
      <c r="G11" s="21" t="s"/>
      <c r="I11" s="21" t="s"/>
      <c r="J11" s="19">
        <v>1</v>
      </c>
      <c r="K11" s="21" t="s"/>
      <c r="M11" s="21" t="s"/>
      <c r="N11" s="19">
        <v>1</v>
      </c>
      <c r="O11" s="23" t="s">
        <v>26</v>
      </c>
      <c r="P11" s="19">
        <v>1</v>
      </c>
      <c r="Q11" s="23" t="s"/>
      <c r="T11" s="22">
        <f>=SUM(D11:M11)</f>
        <v>3</v>
      </c>
    </row>
    <row r="12" spans="1:20" s="22" customFormat="true">
      <c r="A12" s="16">
        <v>8</v>
      </c>
      <c r="B12" s="17" t="s">
        <v>35</v>
      </c>
      <c r="C12" s="18" t="s">
        <v>21</v>
      </c>
      <c r="E12" s="21" t="s"/>
      <c r="G12" s="21" t="s"/>
      <c r="I12" s="21" t="s"/>
      <c r="K12" s="21" t="s"/>
      <c r="M12" s="21" t="s"/>
      <c r="O12" s="21" t="s"/>
      <c r="Q12" s="21" t="s"/>
      <c r="T12" s="22">
        <f>=SUM(D12:M12)</f>
        <v>0</v>
      </c>
    </row>
    <row r="13" spans="1:20" s="22" customFormat="true">
      <c r="A13" s="16">
        <v>9</v>
      </c>
      <c r="B13" s="17" t="s">
        <v>36</v>
      </c>
      <c r="C13" s="18" t="s">
        <v>21</v>
      </c>
      <c r="D13" s="19">
        <v>1</v>
      </c>
      <c r="E13" s="21" t="s"/>
      <c r="F13" s="19">
        <v>1</v>
      </c>
      <c r="G13" s="21" t="s"/>
      <c r="I13" s="21" t="s"/>
      <c r="J13" s="19">
        <v>1</v>
      </c>
      <c r="K13" s="21" t="s"/>
      <c r="M13" s="21" t="s"/>
      <c r="N13" s="19">
        <v>1</v>
      </c>
      <c r="O13" s="23" t="s"/>
      <c r="Q13" s="21" t="s"/>
      <c r="T13" s="22">
        <f>=SUM(D13:M13)</f>
        <v>3</v>
      </c>
    </row>
    <row r="14" spans="1:20" s="22" customFormat="true">
      <c r="A14" s="16">
        <v>10</v>
      </c>
      <c r="B14" s="17" t="s">
        <v>37</v>
      </c>
      <c r="C14" s="18" t="s">
        <v>21</v>
      </c>
      <c r="D14" s="19">
        <v>1</v>
      </c>
      <c r="E14" s="21" t="s">
        <v>22</v>
      </c>
      <c r="F14" s="19">
        <v>1</v>
      </c>
      <c r="G14" s="21" t="s"/>
      <c r="I14" s="21" t="s"/>
      <c r="J14" s="19">
        <v>1</v>
      </c>
      <c r="K14" s="21" t="s"/>
      <c r="M14" s="21" t="s"/>
      <c r="O14" s="21" t="s"/>
      <c r="P14" s="19">
        <v>1</v>
      </c>
      <c r="Q14" s="23" t="s"/>
      <c r="T14" s="22">
        <f>=SUM(D14:M14)</f>
        <v>3</v>
      </c>
    </row>
    <row r="15" spans="1:20" s="22" customFormat="true">
      <c r="A15" s="16">
        <v>11</v>
      </c>
      <c r="B15" s="17" t="s">
        <v>38</v>
      </c>
      <c r="C15" s="18" t="s">
        <v>21</v>
      </c>
      <c r="E15" s="21" t="s"/>
      <c r="G15" s="21" t="s"/>
      <c r="H15" s="19">
        <v>1</v>
      </c>
      <c r="I15" s="21" t="s"/>
      <c r="K15" s="21" t="s"/>
      <c r="M15" s="21" t="s"/>
      <c r="O15" s="21" t="s"/>
      <c r="Q15" s="21" t="s"/>
      <c r="T15" s="22">
        <f>=SUM(D15:M15)</f>
        <v>1</v>
      </c>
    </row>
    <row r="16" spans="1:20" s="22" customFormat="true">
      <c r="A16" s="16">
        <v>12</v>
      </c>
      <c r="B16" s="17" t="s">
        <v>39</v>
      </c>
      <c r="C16" s="18" t="s">
        <v>21</v>
      </c>
      <c r="E16" s="21" t="s"/>
      <c r="G16" s="21" t="s"/>
      <c r="I16" s="21" t="s"/>
      <c r="K16" s="21" t="s"/>
      <c r="M16" s="21" t="s"/>
      <c r="N16" s="19">
        <v>1</v>
      </c>
      <c r="O16" s="23" t="s"/>
      <c r="Q16" s="21" t="s"/>
      <c r="T16" s="22">
        <f>=SUM(D16:M16)</f>
        <v>0</v>
      </c>
    </row>
    <row r="17" spans="1:20" s="22" customFormat="true">
      <c r="A17" s="16">
        <v>13</v>
      </c>
      <c r="B17" s="17" t="s">
        <v>40</v>
      </c>
      <c r="C17" s="18" t="s">
        <v>21</v>
      </c>
      <c r="D17" s="19">
        <v>1</v>
      </c>
      <c r="E17" s="21" t="s"/>
      <c r="F17" s="19">
        <v>1</v>
      </c>
      <c r="G17" s="21" t="s"/>
      <c r="I17" s="21" t="s"/>
      <c r="K17" s="21" t="s"/>
      <c r="M17" s="21" t="s"/>
      <c r="O17" s="21" t="s"/>
      <c r="Q17" s="21" t="s"/>
      <c r="T17" s="22">
        <f>=SUM(D17:M17)</f>
        <v>2</v>
      </c>
    </row>
    <row r="18" spans="1:20" s="22" customFormat="true">
      <c r="A18" s="16">
        <v>14</v>
      </c>
      <c r="B18" s="17" t="s">
        <v>41</v>
      </c>
      <c r="C18" s="18" t="s">
        <v>21</v>
      </c>
      <c r="E18" s="21" t="s"/>
      <c r="F18" s="19">
        <v>1</v>
      </c>
      <c r="G18" s="21" t="s"/>
      <c r="H18" s="19">
        <v>1</v>
      </c>
      <c r="I18" s="21" t="s"/>
      <c r="J18" s="19">
        <v>1</v>
      </c>
      <c r="K18" s="21" t="s">
        <v>42</v>
      </c>
      <c r="M18" s="21" t="s"/>
      <c r="O18" s="21" t="s"/>
      <c r="Q18" s="21" t="s"/>
      <c r="T18" s="22">
        <f>=SUM(D18:M18)</f>
        <v>3</v>
      </c>
    </row>
    <row r="19" spans="1:21" s="48" customFormat="true">
      <c r="A19" s="24">
        <v>15</v>
      </c>
      <c r="B19" s="25" t="s">
        <v>43</v>
      </c>
      <c r="C19" s="18" t="s">
        <v>21</v>
      </c>
      <c r="D19" s="19" t="s"/>
      <c r="E19" s="23" t="s"/>
      <c r="G19" s="23" t="s"/>
      <c r="I19" s="23" t="s"/>
      <c r="J19" s="19">
        <v>1</v>
      </c>
      <c r="K19" s="21" t="s"/>
      <c r="M19" s="23" t="s"/>
      <c r="O19" s="21" t="s"/>
      <c r="Q19" s="21" t="s"/>
      <c r="T19" s="19">
        <f>=SUM(D19:M19)</f>
        <v>1</v>
      </c>
      <c r="U19" s="19" t="s">
        <v>44</v>
      </c>
    </row>
    <row r="20" spans="1:20" s="22" customFormat="true">
      <c r="A20" s="16">
        <v>16</v>
      </c>
      <c r="B20" s="17" t="s">
        <v>45</v>
      </c>
      <c r="C20" s="18" t="s">
        <v>21</v>
      </c>
      <c r="D20" s="26">
        <v>1</v>
      </c>
      <c r="E20" s="21" t="s"/>
      <c r="F20" s="19">
        <v>1</v>
      </c>
      <c r="G20" s="21" t="s">
        <v>28</v>
      </c>
      <c r="I20" s="21" t="s"/>
      <c r="J20" s="19">
        <v>1</v>
      </c>
      <c r="K20" s="21" t="s">
        <v>42</v>
      </c>
      <c r="M20" s="21" t="s"/>
      <c r="O20" s="21" t="s"/>
      <c r="P20" s="19">
        <v>1</v>
      </c>
      <c r="Q20" s="23" t="s"/>
      <c r="T20" s="22">
        <f>=SUM(D20:M20)</f>
        <v>3</v>
      </c>
    </row>
    <row r="21" spans="1:20" s="22" customFormat="true">
      <c r="A21" s="16">
        <v>17</v>
      </c>
      <c r="B21" s="17" t="s">
        <v>46</v>
      </c>
      <c r="C21" s="18" t="s">
        <v>21</v>
      </c>
      <c r="E21" s="21" t="s"/>
      <c r="F21" s="19">
        <v>1</v>
      </c>
      <c r="G21" s="21" t="s"/>
      <c r="I21" s="21" t="s"/>
      <c r="J21" s="19">
        <v>1</v>
      </c>
      <c r="K21" s="21" t="s"/>
      <c r="M21" s="21" t="s"/>
      <c r="O21" s="21" t="s"/>
      <c r="Q21" s="21" t="s"/>
      <c r="T21" s="22">
        <f>=SUM(D21:M21)</f>
        <v>2</v>
      </c>
    </row>
    <row r="22" spans="1:21" s="48" customFormat="true">
      <c r="A22" s="24">
        <v>18</v>
      </c>
      <c r="B22" s="25" t="s">
        <v>47</v>
      </c>
      <c r="C22" s="18" t="s">
        <v>21</v>
      </c>
      <c r="D22" s="19" t="s"/>
      <c r="E22" s="23" t="s"/>
      <c r="F22" s="19">
        <v>1</v>
      </c>
      <c r="G22" s="23" t="s"/>
      <c r="I22" s="23" t="s"/>
      <c r="J22" s="19">
        <v>1</v>
      </c>
      <c r="K22" s="21" t="s"/>
      <c r="M22" s="23" t="s"/>
      <c r="N22" s="19">
        <v>1</v>
      </c>
      <c r="O22" s="23" t="s"/>
      <c r="Q22" s="21" t="s"/>
      <c r="T22" s="19">
        <f>=SUM(D22:M22)</f>
        <v>2</v>
      </c>
      <c r="U22" s="19" t="s">
        <v>48</v>
      </c>
    </row>
    <row r="23" spans="1:20" s="22" customFormat="true">
      <c r="A23" s="16">
        <v>19</v>
      </c>
      <c r="B23" s="17" t="s">
        <v>49</v>
      </c>
      <c r="C23" s="18" t="s">
        <v>21</v>
      </c>
      <c r="D23" s="19">
        <v>1</v>
      </c>
      <c r="E23" s="21" t="s"/>
      <c r="F23" s="19">
        <v>1</v>
      </c>
      <c r="G23" s="21" t="s"/>
      <c r="H23" s="19">
        <v>1</v>
      </c>
      <c r="I23" s="21" t="s"/>
      <c r="J23" s="19">
        <v>1</v>
      </c>
      <c r="K23" s="21" t="s"/>
      <c r="M23" s="21" t="s"/>
      <c r="N23" s="19">
        <v>1</v>
      </c>
      <c r="O23" s="23" t="s"/>
      <c r="Q23" s="21" t="s"/>
      <c r="T23" s="22">
        <f>=SUM(D23:M23)</f>
        <v>4</v>
      </c>
    </row>
    <row r="24" spans="1:20" s="22" customFormat="true">
      <c r="A24" s="16">
        <v>20</v>
      </c>
      <c r="B24" s="17" t="s">
        <v>50</v>
      </c>
      <c r="C24" s="18" t="s">
        <v>21</v>
      </c>
      <c r="D24" s="19">
        <v>1</v>
      </c>
      <c r="E24" s="21" t="s">
        <v>28</v>
      </c>
      <c r="G24" s="21" t="s"/>
      <c r="I24" s="21" t="s"/>
      <c r="K24" s="21" t="s"/>
      <c r="M24" s="21" t="s"/>
      <c r="O24" s="21" t="s"/>
      <c r="P24" s="19">
        <v>1</v>
      </c>
      <c r="Q24" s="23" t="s">
        <v>26</v>
      </c>
      <c r="T24" s="22">
        <f>=SUM(D24:M24)</f>
        <v>1</v>
      </c>
    </row>
    <row r="25" spans="1:20" s="22" customFormat="true">
      <c r="A25" s="16">
        <v>21</v>
      </c>
      <c r="B25" s="27" t="s">
        <v>51</v>
      </c>
      <c r="C25" s="28" t="s">
        <v>21</v>
      </c>
      <c r="D25" s="19">
        <v>1</v>
      </c>
      <c r="E25" s="21" t="s"/>
      <c r="F25" s="19">
        <v>1</v>
      </c>
      <c r="G25" s="21" t="s"/>
      <c r="I25" s="21" t="s"/>
      <c r="K25" s="21" t="s"/>
      <c r="M25" s="21" t="s"/>
      <c r="O25" s="21" t="s"/>
      <c r="Q25" s="21" t="s"/>
      <c r="T25" s="22">
        <f>=SUM(D25:M25)</f>
        <v>2</v>
      </c>
    </row>
    <row r="26" spans="1:20" s="48" customFormat="true">
      <c r="A26" s="24">
        <v>22</v>
      </c>
      <c r="B26" s="25" t="s">
        <v>52</v>
      </c>
      <c r="C26" s="18" t="s">
        <v>21</v>
      </c>
      <c r="D26" s="19" t="s"/>
      <c r="E26" s="23" t="s"/>
      <c r="G26" s="23" t="s"/>
      <c r="H26" s="19">
        <v>1</v>
      </c>
      <c r="I26" s="23" t="s"/>
      <c r="K26" s="21" t="s"/>
      <c r="M26" s="23" t="s"/>
      <c r="O26" s="21" t="s"/>
      <c r="Q26" s="21" t="s"/>
      <c r="T26" s="19">
        <f>=SUM(D26:M26)</f>
        <v>1</v>
      </c>
    </row>
    <row r="27" spans="1:20" s="22" customFormat="true">
      <c r="A27" s="16">
        <v>23</v>
      </c>
      <c r="B27" s="17" t="s">
        <v>53</v>
      </c>
      <c r="C27" s="29" t="s">
        <v>54</v>
      </c>
      <c r="D27" s="19">
        <v>1</v>
      </c>
      <c r="E27" s="21" t="s"/>
      <c r="F27" s="19">
        <v>1</v>
      </c>
      <c r="G27" s="21" t="s">
        <v>32</v>
      </c>
      <c r="H27" s="19">
        <v>1</v>
      </c>
      <c r="I27" s="21" t="s"/>
      <c r="K27" s="21" t="s"/>
      <c r="M27" s="21" t="s"/>
      <c r="N27" s="19">
        <v>1</v>
      </c>
      <c r="O27" s="23" t="s"/>
      <c r="Q27" s="21" t="s"/>
      <c r="T27" s="22">
        <f>=SUM(D27:M27)</f>
        <v>3</v>
      </c>
    </row>
    <row r="28" spans="1:20" s="22" customFormat="true">
      <c r="A28" s="16">
        <v>24</v>
      </c>
      <c r="B28" s="17" t="s">
        <v>55</v>
      </c>
      <c r="C28" s="29" t="s">
        <v>54</v>
      </c>
      <c r="D28" s="19">
        <v>1</v>
      </c>
      <c r="E28" s="21" t="s">
        <v>32</v>
      </c>
      <c r="F28" s="19">
        <v>1</v>
      </c>
      <c r="G28" s="21" t="s"/>
      <c r="I28" s="21" t="s"/>
      <c r="J28" s="19">
        <v>1</v>
      </c>
      <c r="K28" s="21" t="s"/>
      <c r="M28" s="21" t="s"/>
      <c r="O28" s="21" t="s"/>
      <c r="Q28" s="21" t="s"/>
      <c r="T28" s="22">
        <f>=SUM(D28:M28)</f>
        <v>3</v>
      </c>
    </row>
    <row r="29" spans="1:20" s="48" customFormat="true">
      <c r="A29" s="24">
        <v>25</v>
      </c>
      <c r="B29" s="25" t="s">
        <v>56</v>
      </c>
      <c r="C29" s="30" t="s">
        <v>57</v>
      </c>
      <c r="D29" s="19" t="s"/>
      <c r="E29" s="23" t="s"/>
      <c r="G29" s="23" t="s"/>
      <c r="H29" s="19" t="s"/>
      <c r="I29" s="23" t="s"/>
      <c r="K29" s="21" t="s"/>
      <c r="M29" s="23" t="s"/>
      <c r="O29" s="21" t="s"/>
      <c r="Q29" s="21" t="s"/>
      <c r="T29" s="19">
        <f>=SUM(D29:M29)</f>
        <v>0</v>
      </c>
    </row>
    <row r="30" spans="1:20" s="22" customFormat="true">
      <c r="A30" s="16">
        <v>26</v>
      </c>
      <c r="B30" s="25" t="s">
        <v>58</v>
      </c>
      <c r="C30" s="30" t="s">
        <v>57</v>
      </c>
      <c r="E30" s="21" t="s"/>
      <c r="G30" s="21" t="s"/>
      <c r="I30" s="21" t="s"/>
      <c r="J30" s="19">
        <v>1</v>
      </c>
      <c r="K30" s="21" t="s"/>
      <c r="M30" s="21" t="s"/>
      <c r="O30" s="21" t="s"/>
      <c r="Q30" s="21" t="s"/>
      <c r="T30" s="22">
        <f>=SUM(D30:M30)</f>
        <v>1</v>
      </c>
    </row>
    <row r="31" spans="1:21" s="48" customFormat="true">
      <c r="A31" s="24">
        <v>27</v>
      </c>
      <c r="B31" s="25" t="s">
        <v>59</v>
      </c>
      <c r="C31" s="30" t="s">
        <v>57</v>
      </c>
      <c r="D31" s="19">
        <v>1</v>
      </c>
      <c r="E31" s="23" t="s"/>
      <c r="G31" s="23" t="s"/>
      <c r="I31" s="23" t="s"/>
      <c r="J31" s="19">
        <v>1</v>
      </c>
      <c r="K31" s="21" t="s"/>
      <c r="M31" s="23" t="s"/>
      <c r="O31" s="21" t="s"/>
      <c r="P31" s="19">
        <v>1</v>
      </c>
      <c r="Q31" s="23" t="s"/>
      <c r="T31" s="19">
        <f>=SUM(D31:M31)</f>
        <v>2</v>
      </c>
      <c r="U31" s="19" t="s">
        <v>60</v>
      </c>
    </row>
    <row r="32" spans="1:20" s="48" customFormat="true">
      <c r="A32" s="24">
        <v>28</v>
      </c>
      <c r="B32" s="25" t="s">
        <v>61</v>
      </c>
      <c r="C32" s="30" t="s">
        <v>57</v>
      </c>
      <c r="D32" s="19">
        <v>1</v>
      </c>
      <c r="E32" s="23" t="s"/>
      <c r="F32" s="19" t="s"/>
      <c r="G32" s="23" t="s"/>
      <c r="I32" s="23" t="s"/>
      <c r="J32" s="19">
        <v>1</v>
      </c>
      <c r="K32" s="21" t="s">
        <v>22</v>
      </c>
      <c r="M32" s="23" t="s"/>
      <c r="O32" s="21" t="s"/>
      <c r="P32" s="19">
        <v>1</v>
      </c>
      <c r="Q32" s="23" t="s"/>
      <c r="T32" s="19">
        <f>=SUM(D32:M32)</f>
        <v>2</v>
      </c>
    </row>
    <row r="33" spans="1:20" s="22" customFormat="true">
      <c r="A33" s="16">
        <v>29</v>
      </c>
      <c r="B33" s="17" t="s">
        <v>62</v>
      </c>
      <c r="C33" s="30" t="s">
        <v>57</v>
      </c>
      <c r="D33" s="19">
        <v>1</v>
      </c>
      <c r="E33" s="21" t="s"/>
      <c r="G33" s="21" t="s"/>
      <c r="I33" s="21" t="s"/>
      <c r="K33" s="21" t="s"/>
      <c r="M33" s="21" t="s"/>
      <c r="O33" s="21" t="s"/>
      <c r="Q33" s="21" t="s"/>
      <c r="T33" s="22">
        <f>=SUM(D33:M33)</f>
        <v>1</v>
      </c>
    </row>
    <row r="34" spans="1:20" s="48" customFormat="true">
      <c r="A34" s="24">
        <v>30</v>
      </c>
      <c r="B34" s="25" t="s">
        <v>63</v>
      </c>
      <c r="C34" s="30" t="s">
        <v>57</v>
      </c>
      <c r="D34" s="19" t="s"/>
      <c r="E34" s="23" t="s"/>
      <c r="G34" s="23" t="s"/>
      <c r="I34" s="23" t="s"/>
      <c r="K34" s="21" t="s"/>
      <c r="M34" s="23" t="s"/>
      <c r="O34" s="21" t="s"/>
      <c r="Q34" s="21" t="s"/>
      <c r="T34" s="19">
        <f>=SUM(D34:M34)</f>
        <v>0</v>
      </c>
    </row>
    <row r="35" spans="1:20" s="48" customFormat="true">
      <c r="A35" s="24">
        <v>31</v>
      </c>
      <c r="B35" s="25" t="s">
        <v>64</v>
      </c>
      <c r="C35" s="31" t="s">
        <v>57</v>
      </c>
      <c r="D35" s="19">
        <v>1</v>
      </c>
      <c r="E35" s="23" t="s"/>
      <c r="F35" s="19" t="s"/>
      <c r="G35" s="23" t="s"/>
      <c r="I35" s="23" t="s"/>
      <c r="K35" s="21" t="s"/>
      <c r="M35" s="23" t="s"/>
      <c r="O35" s="21" t="s"/>
      <c r="Q35" s="21" t="s"/>
      <c r="T35" s="19">
        <f>=SUM(D35:M35)</f>
        <v>1</v>
      </c>
    </row>
    <row r="36" spans="1:21" s="48" customFormat="true">
      <c r="A36" s="24">
        <v>32</v>
      </c>
      <c r="B36" s="25" t="s">
        <v>65</v>
      </c>
      <c r="C36" s="31" t="s">
        <v>57</v>
      </c>
      <c r="D36" s="19">
        <v>1</v>
      </c>
      <c r="E36" s="23" t="s"/>
      <c r="F36" s="19">
        <v>1</v>
      </c>
      <c r="G36" s="23" t="s"/>
      <c r="I36" s="23" t="s"/>
      <c r="K36" s="21" t="s"/>
      <c r="M36" s="23" t="s"/>
      <c r="O36" s="21" t="s"/>
      <c r="Q36" s="21" t="s"/>
      <c r="T36" s="19">
        <f>=SUM(D36:M36)</f>
        <v>2</v>
      </c>
      <c r="U36" s="19" t="s">
        <v>48</v>
      </c>
    </row>
    <row r="37" spans="1:20" s="22" customFormat="true">
      <c r="A37" s="16">
        <v>33</v>
      </c>
      <c r="B37" s="32" t="s">
        <v>66</v>
      </c>
      <c r="C37" s="33" t="s">
        <v>57</v>
      </c>
      <c r="D37" s="19">
        <v>1</v>
      </c>
      <c r="F37" s="22">
        <v>1</v>
      </c>
      <c r="I37" s="34" t="s"/>
      <c r="K37" s="21" t="s"/>
      <c r="O37" s="21" t="s"/>
      <c r="Q37" s="21" t="s"/>
      <c r="T37" s="22">
        <f>=SUM(D37:M37)</f>
        <v>2</v>
      </c>
    </row>
    <row r="38" spans="1:20" s="22" customFormat="true">
      <c r="A38" s="16">
        <v>34</v>
      </c>
      <c r="B38" s="17" t="s">
        <v>67</v>
      </c>
      <c r="C38" s="33" t="s">
        <v>57</v>
      </c>
      <c r="F38" s="19">
        <v>1</v>
      </c>
      <c r="I38" s="34" t="s"/>
      <c r="K38" s="21" t="s"/>
      <c r="O38" s="21" t="s"/>
      <c r="Q38" s="21" t="s"/>
      <c r="T38" s="22">
        <f>=SUM(D38:M38)</f>
        <v>1</v>
      </c>
    </row>
    <row r="39" spans="1:20" s="19" customFormat="true">
      <c r="A39" s="35" t="s"/>
      <c r="B39" s="36" t="s">
        <v>68</v>
      </c>
      <c r="C39" s="37" t="s">
        <v>69</v>
      </c>
      <c r="F39" s="19">
        <v>1</v>
      </c>
      <c r="I39" s="34" t="s"/>
      <c r="K39" s="21" t="s"/>
      <c r="O39" s="21" t="s"/>
      <c r="Q39" s="21" t="s"/>
      <c r="T39" s="22" t="s"/>
    </row>
    <row r="40" spans="2:20">
      <c r="B40" s="38" t="s">
        <v>70</v>
      </c>
      <c r="D40" s="22" t="s"/>
      <c r="J40">
        <v>1</v>
      </c>
      <c r="K40" s="21" t="s"/>
      <c r="O40" s="21" t="s"/>
      <c r="Q40" s="21" t="s"/>
      <c r="T40" s="22" t="s"/>
    </row>
    <row r="41" spans="2:20">
      <c r="B41" s="38" t="s">
        <v>71</v>
      </c>
      <c r="D41" s="19" t="s"/>
      <c r="J41">
        <v>1</v>
      </c>
      <c r="K41" s="21" t="s"/>
      <c r="O41" s="21" t="s"/>
      <c r="Q41" s="21" t="s"/>
      <c r="T41" s="22" t="s"/>
    </row>
    <row r="42" spans="2:20">
      <c r="B42" s="38" t="s">
        <v>72</v>
      </c>
      <c r="D42" s="19" t="s"/>
      <c r="J42">
        <v>1</v>
      </c>
      <c r="K42" s="21" t="s">
        <v>28</v>
      </c>
      <c r="O42" s="21" t="s"/>
      <c r="Q42" s="21" t="s"/>
      <c r="T42" s="22" t="s"/>
    </row>
    <row r="43" spans="2:20">
      <c r="B43" s="38" t="s">
        <v>73</v>
      </c>
      <c r="D43" s="19" t="s"/>
      <c r="J43">
        <v>1</v>
      </c>
      <c r="K43" s="21" t="s">
        <v>28</v>
      </c>
      <c r="O43" s="21" t="s"/>
      <c r="Q43" s="21" t="s"/>
      <c r="T43" s="22" t="s"/>
    </row>
    <row r="44" spans="2:20">
      <c r="B44" s="38" t="s">
        <v>74</v>
      </c>
      <c r="D44" s="19" t="s"/>
      <c r="K44" s="23" t="s"/>
      <c r="N44">
        <v>1</v>
      </c>
      <c r="T44" s="19" t="s"/>
    </row>
    <row r="45" spans="2:20">
      <c r="B45" s="38" t="s">
        <v>75</v>
      </c>
      <c r="D45" s="19" t="s"/>
      <c r="K45" s="23" t="s"/>
      <c r="N45">
        <v>1</v>
      </c>
      <c r="T45" s="19" t="s"/>
    </row>
    <row r="46" spans="2:20">
      <c r="B46" s="38" t="s">
        <v>76</v>
      </c>
      <c r="D46" s="19" t="s"/>
      <c r="K46" s="23" t="s"/>
      <c r="N46">
        <v>1</v>
      </c>
      <c r="T46" s="19" t="s"/>
    </row>
    <row r="47" spans="2:20">
      <c r="B47" s="38" t="s">
        <v>77</v>
      </c>
      <c r="D47" s="19" t="s"/>
      <c r="K47" s="23" t="s"/>
      <c r="N47">
        <v>1</v>
      </c>
      <c r="T47" s="19" t="s"/>
    </row>
    <row r="48" spans="2:20">
      <c r="B48" s="38" t="s">
        <v>78</v>
      </c>
      <c r="D48" s="19" t="s"/>
      <c r="K48" s="23" t="s"/>
      <c r="P48">
        <v>1</v>
      </c>
      <c r="T48" s="19" t="s"/>
    </row>
    <row r="49" spans="2:20">
      <c r="B49" s="38" t="s">
        <v>79</v>
      </c>
      <c r="D49" s="19" t="s"/>
      <c r="K49" s="23" t="s"/>
      <c r="P49">
        <v>1</v>
      </c>
      <c r="T49" s="19" t="s"/>
    </row>
    <row r="50" spans="2:20">
      <c r="B50" s="38" t="s">
        <v>80</v>
      </c>
      <c r="D50" s="19" t="s"/>
      <c r="K50" s="23" t="s"/>
      <c r="P50">
        <v>1</v>
      </c>
      <c r="T50" s="19" t="s"/>
    </row>
    <row r="51" spans="2:16">
      <c r="B51" s="38" t="s">
        <v>81</v>
      </c>
      <c r="D51" s="19" t="s"/>
      <c r="E51" s="22" t="s"/>
      <c r="F51" s="22" t="s"/>
      <c r="G51" s="22" t="s"/>
      <c r="H51" s="22" t="s"/>
      <c r="I51" s="22" t="s"/>
      <c r="J51" s="22" t="s"/>
      <c r="K51" s="23" t="s"/>
      <c r="P51">
        <v>1</v>
      </c>
    </row>
    <row r="52" spans="2:11">
      <c r="B52" s="38" t="s"/>
      <c r="D52" s="19" t="s"/>
      <c r="E52" s="19" t="s"/>
      <c r="F52" s="19" t="s"/>
      <c r="G52" s="19" t="s"/>
      <c r="H52" s="19" t="s"/>
      <c r="I52" s="19" t="s"/>
      <c r="J52" s="19" t="s"/>
      <c r="K52" s="23" t="s"/>
    </row>
    <row r="53" spans="2:17">
      <c r="B53" s="38" t="s"/>
      <c r="D53" s="39">
        <f>=SUM(D5:D52)</f>
        <v>21</v>
      </c>
      <c r="E53" s="39" t="s"/>
      <c r="F53" s="39">
        <f>=SUM(F5:F52)</f>
        <v>17</v>
      </c>
      <c r="G53" s="39" t="s"/>
      <c r="H53" s="39">
        <f>=SUM(H5:H52)</f>
        <v>6</v>
      </c>
      <c r="I53" s="39" t="s"/>
      <c r="J53" s="39">
        <f>=SUM(J5:J52)</f>
        <v>20</v>
      </c>
      <c r="K53" s="40" t="s"/>
      <c r="L53" s="39" t="s"/>
      <c r="M53" s="39" t="s"/>
      <c r="N53" s="39">
        <f>=SUM(N5:N52)</f>
        <v>11</v>
      </c>
      <c r="O53" s="39" t="s"/>
      <c r="P53" s="39">
        <f>=SUM(P5:P52)</f>
        <v>12</v>
      </c>
      <c r="Q53" s="19" t="s"/>
    </row>
    <row r="54" spans="1:1">
      <c r="A54" t="s">
        <v>82</v>
      </c>
    </row>
    <row r="55" spans="1:4">
      <c r="A55" s="41" t="s">
        <v>83</v>
      </c>
      <c r="B55" s="42" t="s"/>
      <c r="D55" t="s">
        <v>84</v>
      </c>
    </row>
    <row r="56" spans="1:4">
      <c r="A56" s="43" t="s"/>
      <c r="B56" s="44" t="s"/>
      <c r="D56" t="s">
        <v>85</v>
      </c>
    </row>
    <row r="57" spans="1:5">
      <c r="A57" s="43" t="s"/>
      <c r="B57" s="44" t="s"/>
      <c r="D57" t="s">
        <v>86</v>
      </c>
      <c r="E57" t="s">
        <v>87</v>
      </c>
    </row>
    <row r="58" spans="1:4">
      <c r="A58" s="43" t="s"/>
      <c r="B58" s="44" t="s"/>
      <c r="D58" t="s">
        <v>88</v>
      </c>
    </row>
    <row r="59" spans="1:4">
      <c r="A59" s="43" t="s"/>
      <c r="B59" s="44" t="s"/>
      <c r="D59" t="s">
        <v>89</v>
      </c>
    </row>
    <row r="60" spans="1:4">
      <c r="A60" s="45" t="s"/>
      <c r="B60" s="46" t="s"/>
      <c r="D60" t="s">
        <v>90</v>
      </c>
    </row>
    <row r="62" spans="1:4">
      <c r="A62" s="47" t="s">
        <v>91</v>
      </c>
      <c r="B62" s="42" t="s"/>
      <c r="D62" t="s">
        <v>92</v>
      </c>
    </row>
    <row r="63" spans="1:4">
      <c r="A63" s="45" t="s"/>
      <c r="B63" s="46" t="s"/>
      <c r="D63" t="s">
        <v>93</v>
      </c>
    </row>
  </sheetData>
  <autoFilter ref="T3:T38">
    <sortState ref="T4:T38"/>
  </autoFilter>
  <mergeCells count="17">
    <mergeCell ref="C2:D2"/>
    <mergeCell ref="A3:A4"/>
    <mergeCell ref="B3:B4"/>
    <mergeCell ref="C3:C4"/>
    <mergeCell ref="T3:T4"/>
    <mergeCell ref="F4:G4"/>
    <mergeCell ref="H4:I4"/>
    <mergeCell ref="L4:M4"/>
    <mergeCell ref="D4:E4"/>
    <mergeCell ref="A55:B60"/>
    <mergeCell ref="U3:U4"/>
    <mergeCell ref="A62:B63"/>
    <mergeCell ref="J4:K4"/>
    <mergeCell ref="N4:O4"/>
    <mergeCell ref="D3:S3"/>
    <mergeCell ref="B1:T1"/>
    <mergeCell ref="P4:Q4"/>
  </mergeCells>
  <dataValidations>
    <dataValidation type="list" errorStyle="stop" allowBlank="true" showDropDown="false" showInputMessage="true" showErrorMessage="true" prompt="" sqref="E5:E36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G5:G36">
      <formula1>"主持人,小组长,筹委会,TED Talk,学习代表,组长,带游戏,"</formula1>
    </dataValidation>
    <dataValidation type="list" errorStyle="stop" allowBlank="true" showDropDown="false" showInputMessage="true" showErrorMessage="true" prompt="" sqref="I5:I11">
      <formula1>"主持人,小组长,筹委会,TED Talk,学习代表,组长,带游戏,"</formula1>
    </dataValidation>
    <dataValidation type="list" errorStyle="stop" allowBlank="true" showDropDown="false" showInputMessage="true" showErrorMessage="true" prompt="" sqref="I12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I13:I36">
      <formula1>"主持人,小组长,筹委会,TED Talk,学习代表,组长,带游戏,"</formula1>
    </dataValidation>
    <dataValidation type="list" errorStyle="stop" allowBlank="true" showDropDown="false" showInputMessage="true" showErrorMessage="true" prompt="" sqref="K5:K11">
      <formula1>"主持人,小组长,筹委会,TED Talk,学习代表,组长,带游戏,"</formula1>
    </dataValidation>
    <dataValidation type="list" errorStyle="stop" allowBlank="true" showDropDown="false" showInputMessage="true" showErrorMessage="true" prompt="" sqref="K12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K13:K53">
      <formula1>"主持人,小组长,筹委会,TED Talk,学习代表,组长,带游戏,"</formula1>
    </dataValidation>
    <dataValidation type="list" errorStyle="stop" allowBlank="true" showDropDown="false" showInputMessage="true" showErrorMessage="true" prompt="" sqref="M5:M36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O5:O11">
      <formula1>"主持人,小组长,筹委会,TED Talk,学习代表,组长,带游戏,"</formula1>
    </dataValidation>
    <dataValidation type="list" errorStyle="stop" allowBlank="true" showDropDown="false" showInputMessage="true" showErrorMessage="true" prompt="" sqref="O12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O13:O43">
      <formula1>"主持人,小组长,筹委会,TED Talk,学习代表,组长,带游戏,"</formula1>
    </dataValidation>
    <dataValidation type="list" errorStyle="stop" allowBlank="true" showDropDown="false" showInputMessage="true" showErrorMessage="true" prompt="" sqref="Q5:Q11">
      <formula1>"主持人,小组长,筹委会,TED Talk,学习代表,组长,带游戏,"</formula1>
    </dataValidation>
    <dataValidation type="list" errorStyle="stop" allowBlank="true" showDropDown="false" showInputMessage="true" showErrorMessage="true" prompt="" sqref="Q12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Q13:Q43">
      <formula1>"主持人,小组长,筹委会,TED Talk,学习代表,组长,带游戏,"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2026-03-30T15:22:17Z</dcterms:created>
  <dcterms:modified xsi:type="dcterms:W3CDTF">2026-03-30T15:22:17Z</dcterms:modified>
</cp:coreProperties>
</file>